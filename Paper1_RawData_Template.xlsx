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ookups" sheetId="2" state="visible" r:id="rId4"/>
    <sheet name="Models" sheetId="3" state="visible" r:id="rId5"/>
    <sheet name="Volumes" sheetId="4" state="visible" r:id="rId6"/>
    <sheet name="Runs" sheetId="5" state="visible" r:id="rId7"/>
    <sheet name="Legal_Reference" sheetId="6" state="visible" r:id="rId8"/>
    <sheet name="Thresholds" sheetId="7" state="visible" r:id="rId9"/>
    <sheet name="Survival_Summary" sheetId="8" state="visible" r:id="rId10"/>
  </sheets>
  <definedNames>
    <definedName function="false" hidden="true" localSheetId="5" name="_xlnm._FilterDatabase" vbProcedure="false">Legal_Reference!$A$2:$AB$153</definedName>
    <definedName function="false" hidden="true" localSheetId="2" name="_xlnm._FilterDatabase" vbProcedure="false">Models!$A$2:$AB$123</definedName>
    <definedName function="false" hidden="true" localSheetId="4" name="_xlnm._FilterDatabase" vbProcedure="false">Runs!$A$2:$AD$83</definedName>
    <definedName function="false" hidden="true" localSheetId="3" name="_xlnm._FilterDatabase" vbProcedure="false">Volumes!$A$2:$BP$403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<sst xmlns="http://schemas.openxmlformats.org/spreadsheetml/2006/main" count="437" uniqueCount="358">
  <si>
    <t xml:space="preserve">Paper 1 — raw data entry workbook</t>
  </si>
  <si>
    <t xml:space="preserve">How Much of a Legal Volume Survives? Measuring Encoding Loss Across the IFC–CityJSON–PostGIS Chain in a 3D Cadastre</t>
  </si>
  <si>
    <t xml:space="preserve">input</t>
  </si>
  <si>
    <t xml:space="preserve">HOW TO USE</t>
  </si>
  <si>
    <t xml:space="preserve">calculated</t>
  </si>
  <si>
    <t xml:space="preserve">Yellow cells with blue text</t>
  </si>
  <si>
    <t xml:space="preserve">You type here. These are the raw inputs.</t>
  </si>
  <si>
    <t xml:space="preserve">example</t>
  </si>
  <si>
    <t xml:space="preserve">Grey cells with black text</t>
  </si>
  <si>
    <t xml:space="preserve">Calculated. Do not type — the formula will be lost.</t>
  </si>
  <si>
    <t xml:space="preserve">Grey italic row 3</t>
  </si>
  <si>
    <t xml:space="preserve">One example row showing the expected format. Overwrite or delete it.</t>
  </si>
  <si>
    <t xml:space="preserve">Dropdowns</t>
  </si>
  <si>
    <t xml:space="preserve">Come from the Lookups sheet. Add a choice there and it appears everywhere.</t>
  </si>
  <si>
    <t xml:space="preserve">Percentages</t>
  </si>
  <si>
    <t xml:space="preserve">Stored as fractions: type 0.0065 to mean 0.65%. The cell displays the %.</t>
  </si>
  <si>
    <t xml:space="preserve">Blank means unknown</t>
  </si>
  <si>
    <t xml:space="preserve">Leave a cell empty rather than typing 0 — 0 is a measured value.</t>
  </si>
  <si>
    <t xml:space="preserve">SHEETS</t>
  </si>
  <si>
    <t xml:space="preserve">Models</t>
  </si>
  <si>
    <t xml:space="preserve">One row per IFC model. Corpus registry + fitness-scan result + include/exclude.</t>
  </si>
  <si>
    <t xml:space="preserve">Volumes</t>
  </si>
  <si>
    <t xml:space="preserve">The main sheet. One row per legal volume PER CONDITION (C0–C5). Fields follow PAPER1_DATA_AND_VERIFICATION.md §B1.</t>
  </si>
  <si>
    <t xml:space="preserve">Runs</t>
  </si>
  <si>
    <t xml:space="preserve">One row per harness run: timing, counts, and the pinned software versions of §3.11.</t>
  </si>
  <si>
    <t xml:space="preserve">Legal_Reference</t>
  </si>
  <si>
    <t xml:space="preserve">Real arm only. One row per registered condominium unit: plan area, measurement convention, share fraction. Separates convention offset from pipeline error (§3.4).</t>
  </si>
  <si>
    <t xml:space="preserve">Thresholds</t>
  </si>
  <si>
    <t xml:space="preserve">The registration thresholds materiality is judged against (§3.9). Cite each one.</t>
  </si>
  <si>
    <t xml:space="preserve">Survival_Summary</t>
  </si>
  <si>
    <t xml:space="preserve">Calculated. Per-condition survival rates at 1 / 10 / 100 mm.</t>
  </si>
  <si>
    <t xml:space="preserve">Lookups</t>
  </si>
  <si>
    <t xml:space="preserve">Dropdown lists.</t>
  </si>
  <si>
    <t xml:space="preserve">KEYS THAT MUST MATCH</t>
  </si>
  <si>
    <t xml:space="preserve">model_id</t>
  </si>
  <si>
    <t xml:space="preserve">Models → Volumes → Runs → Legal_Reference. Use one spelling, e.g. SYN-001, REAL-001.</t>
  </si>
  <si>
    <t xml:space="preserve">volume_id</t>
  </si>
  <si>
    <t xml:space="preserve">The IFC GlobalId. Same string in Volumes and Legal_Reference.</t>
  </si>
  <si>
    <t xml:space="preserve">building_id</t>
  </si>
  <si>
    <t xml:space="preserve">The unit of independence for the real arm (§3.10). Several volumes share one.</t>
  </si>
  <si>
    <t xml:space="preserve">run_id</t>
  </si>
  <si>
    <t xml:space="preserve">Runs → Volumes.</t>
  </si>
  <si>
    <t xml:space="preserve">TWO THINGS THE METHOD REQUIRES</t>
  </si>
  <si>
    <t xml:space="preserve">One row per condition</t>
  </si>
  <si>
    <t xml:space="preserve">Every volume passes through every condition — that is what makes the design fully paired. Six rows per volume is expected, not duplication.</t>
  </si>
  <si>
    <t xml:space="preserve">Never convert a Type 3 failure into a big number</t>
  </si>
  <si>
    <t xml:space="preserve">If the stored geometry is not watertight, the volume error is undefined, not large. Leave v_out_m3 blank and set out_watertight = N. The survival columns handle it.</t>
  </si>
  <si>
    <t xml:space="preserve">ROW CAPACITY</t>
  </si>
  <si>
    <t xml:space="preserve">Models 120 · Volumes 400 · Runs 80 · Legal_Reference 150. Copy the last formula row down to extend.</t>
  </si>
  <si>
    <t xml:space="preserve">Dropdown lists — edit here to change the choices offered on the data sheets</t>
  </si>
  <si>
    <t xml:space="preserve">Arm</t>
  </si>
  <si>
    <t xml:space="preserve">Route</t>
  </si>
  <si>
    <t xml:space="preserve">Condition</t>
  </si>
  <si>
    <t xml:space="preserve">Stage</t>
  </si>
  <si>
    <t xml:space="preserve">Transition</t>
  </si>
  <si>
    <t xml:space="preserve">Status</t>
  </si>
  <si>
    <t xml:space="preserve">YesNo</t>
  </si>
  <si>
    <t xml:space="preserve">Member</t>
  </si>
  <si>
    <t xml:space="preserve">Schema</t>
  </si>
  <si>
    <t xml:space="preserve">Convention</t>
  </si>
  <si>
    <t xml:space="preserve">Include</t>
  </si>
  <si>
    <t xml:space="preserve">UnitType</t>
  </si>
  <si>
    <t xml:space="preserve">CRS</t>
  </si>
  <si>
    <t xml:space="preserve">GeomType</t>
  </si>
  <si>
    <t xml:space="preserve">Synthetic</t>
  </si>
  <si>
    <t xml:space="preserve">Generated</t>
  </si>
  <si>
    <t xml:space="preserve">C0</t>
  </si>
  <si>
    <t xml:space="preserve">S0 source IFC</t>
  </si>
  <si>
    <t xml:space="preserve">S0-S1</t>
  </si>
  <si>
    <t xml:space="preserve">ok</t>
  </si>
  <si>
    <t xml:space="preserve">Y</t>
  </si>
  <si>
    <t xml:space="preserve">Rectangular box</t>
  </si>
  <si>
    <t xml:space="preserve">IFC2X3</t>
  </si>
  <si>
    <t xml:space="preserve">Inner face</t>
  </si>
  <si>
    <t xml:space="preserve">Yes</t>
  </si>
  <si>
    <t xml:space="preserve">Private unit</t>
  </si>
  <si>
    <t xml:space="preserve">EPSG:4326</t>
  </si>
  <si>
    <t xml:space="preserve">MULTIPOLYGON Z</t>
  </si>
  <si>
    <t xml:space="preserve">Real</t>
  </si>
  <si>
    <t xml:space="preserve">A - Open IFC</t>
  </si>
  <si>
    <t xml:space="preserve">C1</t>
  </si>
  <si>
    <t xml:space="preserve">S1 CityJSON</t>
  </si>
  <si>
    <t xml:space="preserve">S1-S2</t>
  </si>
  <si>
    <t xml:space="preserve">no_geometry</t>
  </si>
  <si>
    <t xml:space="preserve">N</t>
  </si>
  <si>
    <t xml:space="preserve">Sloped prism</t>
  </si>
  <si>
    <t xml:space="preserve">IFC4</t>
  </si>
  <si>
    <t xml:space="preserve">Centre-line</t>
  </si>
  <si>
    <t xml:space="preserve">No</t>
  </si>
  <si>
    <t xml:space="preserve">Common property</t>
  </si>
  <si>
    <t xml:space="preserve">EPSG:5235</t>
  </si>
  <si>
    <t xml:space="preserve">POLYHEDRALSURFACE Z</t>
  </si>
  <si>
    <t xml:space="preserve">B - GeoBIM benchmark</t>
  </si>
  <si>
    <t xml:space="preserve">C2</t>
  </si>
  <si>
    <t xml:space="preserve">S2 PostGIS</t>
  </si>
  <si>
    <t xml:space="preserve">S2-S3</t>
  </si>
  <si>
    <t xml:space="preserve">no_solid_emitted</t>
  </si>
  <si>
    <t xml:space="preserve">unknown</t>
  </si>
  <si>
    <t xml:space="preserve">Multi-storey stack</t>
  </si>
  <si>
    <t xml:space="preserve">IFC4.3</t>
  </si>
  <si>
    <t xml:space="preserve">Mixed</t>
  </si>
  <si>
    <t xml:space="preserve">Pending</t>
  </si>
  <si>
    <t xml:space="preserve">Parking</t>
  </si>
  <si>
    <t xml:space="preserve">local metric</t>
  </si>
  <si>
    <t xml:space="preserve">other</t>
  </si>
  <si>
    <t xml:space="preserve">C - Sri Lankan condominium</t>
  </si>
  <si>
    <t xml:space="preserve">C3</t>
  </si>
  <si>
    <t xml:space="preserve">S3 reconstructed</t>
  </si>
  <si>
    <t xml:space="preserve">S0-S3</t>
  </si>
  <si>
    <t xml:space="preserve">not_run</t>
  </si>
  <si>
    <t xml:space="preserve">Re-entrant (L-shaped)</t>
  </si>
  <si>
    <t xml:space="preserve">Unknown</t>
  </si>
  <si>
    <t xml:space="preserve">Corridor</t>
  </si>
  <si>
    <t xml:space="preserve">D - Student-modelled</t>
  </si>
  <si>
    <t xml:space="preserve">C4</t>
  </si>
  <si>
    <t xml:space="preserve">Party-wall pair</t>
  </si>
  <si>
    <t xml:space="preserve">Shaft / void</t>
  </si>
  <si>
    <t xml:space="preserve">C5</t>
  </si>
  <si>
    <t xml:space="preserve">Void / internal shaft</t>
  </si>
  <si>
    <t xml:space="preserve">Other</t>
  </si>
  <si>
    <t xml:space="preserve">Degenerate - near-coplanar</t>
  </si>
  <si>
    <t xml:space="preserve">Degenerate - sliver face</t>
  </si>
  <si>
    <t xml:space="preserve">Degenerate - unclosed shell</t>
  </si>
  <si>
    <t xml:space="preserve">Degenerate - duplicated vertex</t>
  </si>
  <si>
    <t xml:space="preserve">Production model</t>
  </si>
  <si>
    <t xml:space="preserve">Identity</t>
  </si>
  <si>
    <t xml:space="preserve">Provenance</t>
  </si>
  <si>
    <t xml:space="preserve">Fitness scan (ifc_fitness_scan.py)</t>
  </si>
  <si>
    <t xml:space="preserve">Placement (varied on purpose)</t>
  </si>
  <si>
    <t xml:space="preserve">Ground truth</t>
  </si>
  <si>
    <t xml:space="preserve">Decision</t>
  </si>
  <si>
    <t xml:space="preserve">model_name</t>
  </si>
  <si>
    <t xml:space="preserve">file_name</t>
  </si>
  <si>
    <t xml:space="preserve">arm</t>
  </si>
  <si>
    <t xml:space="preserve">route</t>
  </si>
  <si>
    <t xml:space="preserve">member_type</t>
  </si>
  <si>
    <t xml:space="preserve">source_url_or_holder</t>
  </si>
  <si>
    <t xml:space="preserve">licence</t>
  </si>
  <si>
    <t xml:space="preserve">date_obtained</t>
  </si>
  <si>
    <t xml:space="preserve">schema</t>
  </si>
  <si>
    <t xml:space="preserve">length_unit</t>
  </si>
  <si>
    <t xml:space="preserve">n_ifcbuilding</t>
  </si>
  <si>
    <t xml:space="preserve">n_ifcspace</t>
  </si>
  <si>
    <t xml:space="preserve">has_ifcmapconversion</t>
  </si>
  <si>
    <t xml:space="preserve">has_qto_spacebasequantities</t>
  </si>
  <si>
    <t xml:space="preserve">has_ifcrelspaceboundary</t>
  </si>
  <si>
    <t xml:space="preserve">n_storeys</t>
  </si>
  <si>
    <t xml:space="preserve">fitness_pass</t>
  </si>
  <si>
    <t xml:space="preserve">latitude_deg</t>
  </si>
  <si>
    <t xml:space="preserve">longitude_deg</t>
  </si>
  <si>
    <t xml:space="preserve">rotation_deg</t>
  </si>
  <si>
    <t xml:space="preserve">georef_source</t>
  </si>
  <si>
    <t xml:space="preserve">analytic_volume_available</t>
  </si>
  <si>
    <t xml:space="preserve">registered_plan_available</t>
  </si>
  <si>
    <t xml:space="preserve">include</t>
  </si>
  <si>
    <t xml:space="preserve">exclusion_reason</t>
  </si>
  <si>
    <t xml:space="preserve">notes</t>
  </si>
  <si>
    <t xml:space="preserve">SYN-001</t>
  </si>
  <si>
    <t xml:space="preserve">Box control 3x4x10</t>
  </si>
  <si>
    <t xml:space="preserve">syn_box_001.ifc</t>
  </si>
  <si>
    <t xml:space="preserve">SYN-B01</t>
  </si>
  <si>
    <t xml:space="preserve">scripts/generate_synthetic_corpus.py</t>
  </si>
  <si>
    <t xml:space="preserve">own work</t>
  </si>
  <si>
    <t xml:space="preserve">2026-09-07</t>
  </si>
  <si>
    <t xml:space="preserve">m</t>
  </si>
  <si>
    <t xml:space="preserve">IfcMapConversion</t>
  </si>
  <si>
    <t xml:space="preserve">EXAMPLE ROW — overwrite or delete. True volume 120.000 m3.</t>
  </si>
  <si>
    <t xml:space="preserve">Keys</t>
  </si>
  <si>
    <t xml:space="preserve">S0 source geometry</t>
  </si>
  <si>
    <t xml:space="preserve">S2/S3 stored + recovered geometry</t>
  </si>
  <si>
    <t xml:space="preserve">Displacement (Type 1)</t>
  </si>
  <si>
    <t xml:space="preserve">Semantics / identity / attributes (Type 3)</t>
  </si>
  <si>
    <t xml:space="preserve">Cycling</t>
  </si>
  <si>
    <t xml:space="preserve">Notes</t>
  </si>
  <si>
    <t xml:space="preserve">CALCULATED — do not type here</t>
  </si>
  <si>
    <t xml:space="preserve">row_key</t>
  </si>
  <si>
    <t xml:space="preserve">volume_id (IFC GlobalId)</t>
  </si>
  <si>
    <t xml:space="preserve">volume_name</t>
  </si>
  <si>
    <t xml:space="preserve">storey</t>
  </si>
  <si>
    <t xml:space="preserve">condition</t>
  </si>
  <si>
    <t xml:space="preserve">unit_type</t>
  </si>
  <si>
    <t xml:space="preserve">status</t>
  </si>
  <si>
    <t xml:space="preserve">v_analytic_m3</t>
  </si>
  <si>
    <t xml:space="preserve">v_qto_m3</t>
  </si>
  <si>
    <t xml:space="preserve">a_analytic_m2</t>
  </si>
  <si>
    <t xml:space="preserve">v_src_m3</t>
  </si>
  <si>
    <t xml:space="preserve">a_src_m2</t>
  </si>
  <si>
    <t xml:space="preserve">src_verts</t>
  </si>
  <si>
    <t xml:space="preserve">src_tris</t>
  </si>
  <si>
    <t xml:space="preserve">src_watertight</t>
  </si>
  <si>
    <t xml:space="preserve">src_unpaired_edges</t>
  </si>
  <si>
    <t xml:space="preserve">src_orientation_ok</t>
  </si>
  <si>
    <t xml:space="preserve">v_out_m3</t>
  </si>
  <si>
    <t xml:space="preserve">v_proj_m3</t>
  </si>
  <si>
    <t xml:space="preserve">v_naive_stored_units</t>
  </si>
  <si>
    <t xml:space="preserve">a_out_m2</t>
  </si>
  <si>
    <t xml:space="preserve">out_verts</t>
  </si>
  <si>
    <t xml:space="preserve">out_tris</t>
  </si>
  <si>
    <t xml:space="preserve">out_watertight</t>
  </si>
  <si>
    <t xml:space="preserve">out_unpaired_edges</t>
  </si>
  <si>
    <t xml:space="preserve">out_orientation_ok</t>
  </si>
  <si>
    <t xml:space="preserve">out_self_intersect</t>
  </si>
  <si>
    <t xml:space="preserve">stored_crs</t>
  </si>
  <si>
    <t xml:space="preserve">stored_geom_type</t>
  </si>
  <si>
    <t xml:space="preserve">mean_vertex_disp_mm</t>
  </si>
  <si>
    <t xml:space="preserve">p95_vertex_disp_mm</t>
  </si>
  <si>
    <t xml:space="preserve">max_vertex_disp_mm</t>
  </si>
  <si>
    <t xml:space="preserve">hausdorff_mm</t>
  </si>
  <si>
    <t xml:space="preserve">planarity_rms_mm</t>
  </si>
  <si>
    <t xml:space="preserve">proj_disp_mm</t>
  </si>
  <si>
    <t xml:space="preserve">centroid_disp_m</t>
  </si>
  <si>
    <t xml:space="preserve">parcel_within</t>
  </si>
  <si>
    <t xml:space="preserve">semantic_faces_src</t>
  </si>
  <si>
    <t xml:space="preserve">semantic_faces_out</t>
  </si>
  <si>
    <t xml:space="preserve">partywall_identifiable</t>
  </si>
  <si>
    <t xml:space="preserve">id_retained</t>
  </si>
  <si>
    <t xml:space="preserve">m1_m2_agree</t>
  </si>
  <si>
    <t xml:space="preserve">parent_link_retained</t>
  </si>
  <si>
    <t xml:space="preserve">composition_retained</t>
  </si>
  <si>
    <t xml:space="preserve">ps_keys_src</t>
  </si>
  <si>
    <t xml:space="preserve">ps_keys_out</t>
  </si>
  <si>
    <t xml:space="preserve">lod_declared</t>
  </si>
  <si>
    <t xml:space="preserve">crs_metadata_retained</t>
  </si>
  <si>
    <t xml:space="preserve">cycle_n</t>
  </si>
  <si>
    <t xml:space="preserve">drift_mm_this_cycle</t>
  </si>
  <si>
    <t xml:space="preserve">dv_m3</t>
  </si>
  <si>
    <t xml:space="preserve">dv_pct</t>
  </si>
  <si>
    <t xml:space="preserve">dv_proj_m3</t>
  </si>
  <si>
    <t xml:space="preserve">dv_proj_pct</t>
  </si>
  <si>
    <t xml:space="preserve">dv_vs_analytic_pct</t>
  </si>
  <si>
    <t xml:space="preserve">dv_vs_qto_pct</t>
  </si>
  <si>
    <t xml:space="preserve">da_pct</t>
  </si>
  <si>
    <t xml:space="preserve">verts_lost</t>
  </si>
  <si>
    <t xml:space="preserve">tris_lost</t>
  </si>
  <si>
    <t xml:space="preserve">semantic_retention</t>
  </si>
  <si>
    <t xml:space="preserve">ps_retention</t>
  </si>
  <si>
    <t xml:space="preserve">topology_survives</t>
  </si>
  <si>
    <t xml:space="preserve">survives_1mm</t>
  </si>
  <si>
    <t xml:space="preserve">survives_10mm</t>
  </si>
  <si>
    <t xml:space="preserve">survives_100mm</t>
  </si>
  <si>
    <t xml:space="preserve">3vB2Yk$Qn0dfPvSHLmA9Zt</t>
  </si>
  <si>
    <t xml:space="preserve">Apartment 1A</t>
  </si>
  <si>
    <t xml:space="preserve">L01</t>
  </si>
  <si>
    <t xml:space="preserve">RUN-001</t>
  </si>
  <si>
    <t xml:space="preserve">EXAMPLE ROW — overwrite or delete.</t>
  </si>
  <si>
    <t xml:space="preserve">Run</t>
  </si>
  <si>
    <t xml:space="preserve">Input file</t>
  </si>
  <si>
    <t xml:space="preserve">Timing</t>
  </si>
  <si>
    <t xml:space="preserve">Counts</t>
  </si>
  <si>
    <t xml:space="preserve">Deltas reported by the harness</t>
  </si>
  <si>
    <t xml:space="preserve">Pinned versions (controlled variables, §3.11)</t>
  </si>
  <si>
    <t xml:space="preserve">run_date</t>
  </si>
  <si>
    <t xml:space="preserve">transition</t>
  </si>
  <si>
    <t xml:space="preserve">operator</t>
  </si>
  <si>
    <t xml:space="preserve">file_size_mb</t>
  </si>
  <si>
    <t xml:space="preserve">ifc_load_s</t>
  </si>
  <si>
    <t xml:space="preserve">geometry_s</t>
  </si>
  <si>
    <t xml:space="preserve">db_write_s</t>
  </si>
  <si>
    <t xml:space="preserve">spaces_total</t>
  </si>
  <si>
    <t xml:space="preserve">spaces_measured</t>
  </si>
  <si>
    <t xml:space="preserve">spaces_no_geometry</t>
  </si>
  <si>
    <t xml:space="preserve">src_watertight_count</t>
  </si>
  <si>
    <t xml:space="preserve">out_watertight_count</t>
  </si>
  <si>
    <t xml:space="preserve">total_verts_lost</t>
  </si>
  <si>
    <t xml:space="preserve">measured_pct</t>
  </si>
  <si>
    <t xml:space="preserve">out_watertight_pct</t>
  </si>
  <si>
    <t xml:space="preserve">median_abs_dv_pct</t>
  </si>
  <si>
    <t xml:space="preserve">max_abs_dv_pct</t>
  </si>
  <si>
    <t xml:space="preserve">median_abs_dv_proj_pct</t>
  </si>
  <si>
    <t xml:space="preserve">max_abs_dv_proj_pct</t>
  </si>
  <si>
    <t xml:space="preserve">ifcopenshell_ver</t>
  </si>
  <si>
    <t xml:space="preserve">geos_ver</t>
  </si>
  <si>
    <t xml:space="preserve">postgis_ver</t>
  </si>
  <si>
    <t xml:space="preserve">postgresql_ver</t>
  </si>
  <si>
    <t xml:space="preserve">pyproj_ver</t>
  </si>
  <si>
    <t xml:space="preserve">harness_git_sha</t>
  </si>
  <si>
    <t xml:space="preserve">NMPM</t>
  </si>
  <si>
    <t xml:space="preserve">0.8.0</t>
  </si>
  <si>
    <t xml:space="preserve">3.12.1</t>
  </si>
  <si>
    <t xml:space="preserve">3.4.2</t>
  </si>
  <si>
    <t xml:space="preserve">16.3</t>
  </si>
  <si>
    <t xml:space="preserve">3.6.1</t>
  </si>
  <si>
    <t xml:space="preserve">abc1234</t>
  </si>
  <si>
    <t xml:space="preserve">Link</t>
  </si>
  <si>
    <t xml:space="preserve">Registered plan</t>
  </si>
  <si>
    <t xml:space="preserve">Measurement convention (the confound, §3.4)</t>
  </si>
  <si>
    <t xml:space="preserve">Share fraction</t>
  </si>
  <si>
    <t xml:space="preserve">Pipeline figure (from Volumes)</t>
  </si>
  <si>
    <t xml:space="preserve">CALCULATED — materiality (§3.9)</t>
  </si>
  <si>
    <t xml:space="preserve">ref_id</t>
  </si>
  <si>
    <t xml:space="preserve">plan_no</t>
  </si>
  <si>
    <t xml:space="preserve">plan_date</t>
  </si>
  <si>
    <t xml:space="preserve">holder / authority</t>
  </si>
  <si>
    <t xml:space="preserve">unit_no</t>
  </si>
  <si>
    <t xml:space="preserve">registered_area_m2</t>
  </si>
  <si>
    <t xml:space="preserve">registered_volume_m3</t>
  </si>
  <si>
    <t xml:space="preserve">area_convention</t>
  </si>
  <si>
    <t xml:space="preserve">balcony_included</t>
  </si>
  <si>
    <t xml:space="preserve">terrace_included</t>
  </si>
  <si>
    <t xml:space="preserve">convention_offset_m2</t>
  </si>
  <si>
    <t xml:space="preserve">convention_source</t>
  </si>
  <si>
    <t xml:space="preserve">share_numerator</t>
  </si>
  <si>
    <t xml:space="preserve">share_denominator</t>
  </si>
  <si>
    <t xml:space="preserve">share_registered</t>
  </si>
  <si>
    <t xml:space="preserve">pipeline_area_m2</t>
  </si>
  <si>
    <t xml:space="preserve">pipeline_volume_m3</t>
  </si>
  <si>
    <t xml:space="preserve">raw_diff_m2</t>
  </si>
  <si>
    <t xml:space="preserve">pipeline_error_m2</t>
  </si>
  <si>
    <t xml:space="preserve">pipeline_error_pct</t>
  </si>
  <si>
    <t xml:space="preserve">exceeds_threshold</t>
  </si>
  <si>
    <t xml:space="preserve">field_check_m2</t>
  </si>
  <si>
    <t xml:space="preserve">LEG-001</t>
  </si>
  <si>
    <t xml:space="preserve">REAL-001</t>
  </si>
  <si>
    <t xml:space="preserve">REAL-B01</t>
  </si>
  <si>
    <t xml:space="preserve">1aQ8Xm$Rp2ghQwTJNnC0Yu</t>
  </si>
  <si>
    <t xml:space="preserve">CP 1234</t>
  </si>
  <si>
    <t xml:space="preserve">2019-04-18</t>
  </si>
  <si>
    <t xml:space="preserve">Condominium Management Authority</t>
  </si>
  <si>
    <t xml:space="preserve">3B</t>
  </si>
  <si>
    <t xml:space="preserve">plan note 4 / surveyor</t>
  </si>
  <si>
    <t xml:space="preserve">Registration thresholds and tolerances</t>
  </si>
  <si>
    <t xml:space="preserve">Fill these from Sri Lankan registration practice; every one is cited in the paper.</t>
  </si>
  <si>
    <t xml:space="preserve">Parameter</t>
  </si>
  <si>
    <t xml:space="preserve">Value</t>
  </si>
  <si>
    <t xml:space="preserve">Unit</t>
  </si>
  <si>
    <t xml:space="preserve">Source / citation</t>
  </si>
  <si>
    <t xml:space="preserve">Material area difference (absolute)</t>
  </si>
  <si>
    <t xml:space="preserve">m2</t>
  </si>
  <si>
    <t xml:space="preserve">TO BE CITED — registration practice</t>
  </si>
  <si>
    <t xml:space="preserve">Material area difference (relative)</t>
  </si>
  <si>
    <t xml:space="preserve">fraction</t>
  </si>
  <si>
    <t xml:space="preserve">TO BE CITED</t>
  </si>
  <si>
    <t xml:space="preserve">Material volume difference (relative)</t>
  </si>
  <si>
    <t xml:space="preserve">2D cadastral misclosure tolerance</t>
  </si>
  <si>
    <t xml:space="preserve">Survey Department accuracy spec — TO BE CITED</t>
  </si>
  <si>
    <t xml:space="preserve">Tolerance epsilon 1</t>
  </si>
  <si>
    <t xml:space="preserve">mm</t>
  </si>
  <si>
    <t xml:space="preserve">study design §3.8</t>
  </si>
  <si>
    <t xml:space="preserve">Tolerance epsilon 2</t>
  </si>
  <si>
    <t xml:space="preserve">Tolerance epsilon 3</t>
  </si>
  <si>
    <t xml:space="preserve">Share-fraction materiality</t>
  </si>
  <si>
    <t xml:space="preserve">Survival summary — calculated from the Volumes sheet, nothing to type here</t>
  </si>
  <si>
    <t xml:space="preserve">Rows are the six pipeline conditions. Survival at each tolerance counts only volumes whose stored geometry is watertight; the rest are 'undefined', never a large error (§3.7).</t>
  </si>
  <si>
    <t xml:space="preserve">n volumes</t>
  </si>
  <si>
    <t xml:space="preserve">n status=ok</t>
  </si>
  <si>
    <t xml:space="preserve">src watertight %</t>
  </si>
  <si>
    <t xml:space="preserve">out watertight %</t>
  </si>
  <si>
    <t xml:space="preserve">topology survives %</t>
  </si>
  <si>
    <t xml:space="preserve">survives ≤1 mm %</t>
  </si>
  <si>
    <t xml:space="preserve">survives ≤10 mm %</t>
  </si>
  <si>
    <t xml:space="preserve">survives ≤100 mm %</t>
  </si>
  <si>
    <t xml:space="preserve">mean dv_proj (%)</t>
  </si>
  <si>
    <t xml:space="preserve">max |dv_proj| (%)</t>
  </si>
  <si>
    <t xml:space="preserve">mean max_vertex_disp (mm)</t>
  </si>
  <si>
    <t xml:space="preserve">mean semantic retention</t>
  </si>
  <si>
    <t xml:space="preserve">id retained %</t>
  </si>
  <si>
    <t xml:space="preserve">M1/M2 agree %</t>
  </si>
  <si>
    <t xml:space="preserve">Note: the max column uses an array formula. In Excel, confirm it with Ctrl+Shift+Enter if it does not display.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</si>
</sst>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0"/>
    <numFmt numFmtId="167" formatCode="0.000000"/>
    <numFmt numFmtId="168" formatCode="0.0"/>
    <numFmt numFmtId="169" formatCode="0.0000"/>
    <numFmt numFmtId="170" formatCode="0.00E+00"/>
    <numFmt numFmtId="171" formatCode="0.000"/>
    <numFmt numFmtId="172" formatCode="0.00000%"/>
    <numFmt numFmtId="173" formatCode="0.0%"/>
    <numFmt numFmtId="174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D9E2F3"/>
        <bgColor rgb="FFEDEDED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D9E2F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  <c r="D4" s="5" t="s">
        <v>2</v>
      </c>
    </row>
    <row r="5" customFormat="false" ht="15" hidden="false" customHeight="false" outlineLevel="0" collapsed="false">
      <c r="A5" s="6" t="s">
        <v>3</v>
      </c>
      <c r="D5" s="7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  <c r="D6" s="8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6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23.8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23.8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3" t="s">
        <v>29</v>
      </c>
      <c r="B19" s="4" t="s">
        <v>30</v>
      </c>
    </row>
    <row r="20" customFormat="false" ht="15" hidden="false" customHeight="false" outlineLevel="0" collapsed="false">
      <c r="A20" s="3" t="s">
        <v>31</v>
      </c>
      <c r="B20" s="4" t="s">
        <v>32</v>
      </c>
    </row>
    <row r="21" customFormat="false" ht="15" hidden="false" customHeight="false" outlineLevel="0" collapsed="false">
      <c r="A21" s="3"/>
      <c r="B21" s="4"/>
    </row>
    <row r="22" customFormat="false" ht="15" hidden="false" customHeight="false" outlineLevel="0" collapsed="false">
      <c r="A22" s="6" t="s">
        <v>33</v>
      </c>
    </row>
    <row r="23" customFormat="false" ht="15" hidden="false" customHeight="false" outlineLevel="0" collapsed="false">
      <c r="A23" s="3" t="s">
        <v>34</v>
      </c>
      <c r="B23" s="4" t="s">
        <v>35</v>
      </c>
    </row>
    <row r="24" customFormat="false" ht="15" hidden="false" customHeight="false" outlineLevel="0" collapsed="false">
      <c r="A24" s="3" t="s">
        <v>36</v>
      </c>
      <c r="B24" s="4" t="s">
        <v>37</v>
      </c>
    </row>
    <row r="25" customFormat="false" ht="15" hidden="false" customHeight="false" outlineLevel="0" collapsed="false">
      <c r="A25" s="3" t="s">
        <v>38</v>
      </c>
      <c r="B25" s="4" t="s">
        <v>39</v>
      </c>
    </row>
    <row r="26" customFormat="false" ht="15" hidden="false" customHeight="false" outlineLevel="0" collapsed="false">
      <c r="A26" s="3" t="s">
        <v>40</v>
      </c>
      <c r="B26" s="4" t="s">
        <v>41</v>
      </c>
    </row>
    <row r="27" customFormat="false" ht="15" hidden="false" customHeight="false" outlineLevel="0" collapsed="false">
      <c r="A27" s="3"/>
      <c r="B27" s="4"/>
    </row>
    <row r="28" customFormat="false" ht="15" hidden="false" customHeight="false" outlineLevel="0" collapsed="false">
      <c r="A28" s="6" t="s">
        <v>42</v>
      </c>
    </row>
    <row r="29" customFormat="false" ht="23.85" hidden="false" customHeight="false" outlineLevel="0" collapsed="false">
      <c r="A29" s="3" t="s">
        <v>43</v>
      </c>
      <c r="B29" s="4" t="s">
        <v>44</v>
      </c>
    </row>
    <row r="30" customFormat="false" ht="23.85" hidden="false" customHeight="false" outlineLevel="0" collapsed="false">
      <c r="A30" s="3" t="s">
        <v>45</v>
      </c>
      <c r="B30" s="4" t="s">
        <v>46</v>
      </c>
    </row>
    <row r="31" customFormat="false" ht="15" hidden="false" customHeight="false" outlineLevel="0" collapsed="false">
      <c r="A31" s="3"/>
      <c r="B31" s="4"/>
    </row>
    <row r="32" customFormat="false" ht="15" hidden="false" customHeight="false" outlineLevel="0" collapsed="false">
      <c r="A32" s="3" t="s">
        <v>47</v>
      </c>
      <c r="B32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9" min="6" style="0" width="14"/>
    <col collapsed="false" customWidth="true" hidden="false" outlineLevel="0" max="10" min="10" style="0" width="16"/>
    <col collapsed="false" customWidth="true" hidden="false" outlineLevel="0" max="14" min="11" style="0" width="14"/>
  </cols>
  <sheetData>
    <row r="1" customFormat="false" ht="17.35" hidden="false" customHeight="false" outlineLevel="0" collapsed="false">
      <c r="A1" s="9" t="s">
        <v>49</v>
      </c>
    </row>
    <row r="3" customFormat="false" ht="15" hidden="false" customHeight="false" outlineLevel="0" collapsed="false">
      <c r="A3" s="10" t="s">
        <v>50</v>
      </c>
      <c r="B3" s="10" t="s">
        <v>51</v>
      </c>
      <c r="C3" s="10" t="s">
        <v>52</v>
      </c>
      <c r="D3" s="10" t="s">
        <v>53</v>
      </c>
      <c r="E3" s="10" t="s">
        <v>54</v>
      </c>
      <c r="F3" s="10" t="s">
        <v>55</v>
      </c>
      <c r="G3" s="10" t="s">
        <v>56</v>
      </c>
      <c r="H3" s="10" t="s">
        <v>57</v>
      </c>
      <c r="I3" s="10" t="s">
        <v>58</v>
      </c>
      <c r="J3" s="10" t="s">
        <v>59</v>
      </c>
      <c r="K3" s="10" t="s">
        <v>60</v>
      </c>
      <c r="L3" s="10" t="s">
        <v>61</v>
      </c>
      <c r="M3" s="10" t="s">
        <v>62</v>
      </c>
      <c r="N3" s="10" t="s">
        <v>63</v>
      </c>
    </row>
    <row r="4" customFormat="false" ht="15" hidden="false" customHeight="false" outlineLevel="0" collapsed="false">
      <c r="A4" s="11" t="s">
        <v>64</v>
      </c>
      <c r="B4" s="11" t="s">
        <v>65</v>
      </c>
      <c r="C4" s="11" t="s">
        <v>66</v>
      </c>
      <c r="D4" s="11" t="s">
        <v>67</v>
      </c>
      <c r="E4" s="11" t="s">
        <v>68</v>
      </c>
      <c r="F4" s="11" t="s">
        <v>69</v>
      </c>
      <c r="G4" s="11" t="s">
        <v>70</v>
      </c>
      <c r="H4" s="11" t="s">
        <v>71</v>
      </c>
      <c r="I4" s="11" t="s">
        <v>72</v>
      </c>
      <c r="J4" s="11" t="s">
        <v>73</v>
      </c>
      <c r="K4" s="11" t="s">
        <v>74</v>
      </c>
      <c r="L4" s="11" t="s">
        <v>75</v>
      </c>
      <c r="M4" s="11" t="s">
        <v>76</v>
      </c>
      <c r="N4" s="11" t="s">
        <v>77</v>
      </c>
    </row>
    <row r="5" customFormat="false" ht="15" hidden="false" customHeight="false" outlineLevel="0" collapsed="false">
      <c r="A5" s="11" t="s">
        <v>78</v>
      </c>
      <c r="B5" s="11" t="s">
        <v>79</v>
      </c>
      <c r="C5" s="11" t="s">
        <v>80</v>
      </c>
      <c r="D5" s="11" t="s">
        <v>81</v>
      </c>
      <c r="E5" s="11" t="s">
        <v>82</v>
      </c>
      <c r="F5" s="11" t="s">
        <v>83</v>
      </c>
      <c r="G5" s="11" t="s">
        <v>84</v>
      </c>
      <c r="H5" s="11" t="s">
        <v>85</v>
      </c>
      <c r="I5" s="11" t="s">
        <v>86</v>
      </c>
      <c r="J5" s="11" t="s">
        <v>87</v>
      </c>
      <c r="K5" s="11" t="s">
        <v>88</v>
      </c>
      <c r="L5" s="11" t="s">
        <v>89</v>
      </c>
      <c r="M5" s="11" t="s">
        <v>90</v>
      </c>
      <c r="N5" s="11" t="s">
        <v>91</v>
      </c>
    </row>
    <row r="6" customFormat="false" ht="15" hidden="false" customHeight="false" outlineLevel="0" collapsed="false">
      <c r="B6" s="11" t="s">
        <v>92</v>
      </c>
      <c r="C6" s="11" t="s">
        <v>93</v>
      </c>
      <c r="D6" s="11" t="s">
        <v>94</v>
      </c>
      <c r="E6" s="11" t="s">
        <v>95</v>
      </c>
      <c r="F6" s="11" t="s">
        <v>96</v>
      </c>
      <c r="G6" s="11" t="s">
        <v>97</v>
      </c>
      <c r="H6" s="11" t="s">
        <v>98</v>
      </c>
      <c r="I6" s="11" t="s">
        <v>99</v>
      </c>
      <c r="J6" s="11" t="s">
        <v>100</v>
      </c>
      <c r="K6" s="11" t="s">
        <v>101</v>
      </c>
      <c r="L6" s="11" t="s">
        <v>102</v>
      </c>
      <c r="M6" s="11" t="s">
        <v>103</v>
      </c>
      <c r="N6" s="11" t="s">
        <v>104</v>
      </c>
    </row>
    <row r="7" customFormat="false" ht="15" hidden="false" customHeight="false" outlineLevel="0" collapsed="false">
      <c r="B7" s="11" t="s">
        <v>105</v>
      </c>
      <c r="C7" s="11" t="s">
        <v>106</v>
      </c>
      <c r="D7" s="11" t="s">
        <v>107</v>
      </c>
      <c r="E7" s="11" t="s">
        <v>108</v>
      </c>
      <c r="F7" s="11" t="s">
        <v>109</v>
      </c>
      <c r="H7" s="11" t="s">
        <v>110</v>
      </c>
      <c r="I7" s="11" t="s">
        <v>104</v>
      </c>
      <c r="J7" s="11" t="s">
        <v>111</v>
      </c>
      <c r="L7" s="11" t="s">
        <v>112</v>
      </c>
      <c r="M7" s="11" t="s">
        <v>104</v>
      </c>
    </row>
    <row r="8" customFormat="false" ht="15" hidden="false" customHeight="false" outlineLevel="0" collapsed="false">
      <c r="B8" s="11" t="s">
        <v>113</v>
      </c>
      <c r="C8" s="11" t="s">
        <v>114</v>
      </c>
      <c r="H8" s="11" t="s">
        <v>115</v>
      </c>
      <c r="L8" s="11" t="s">
        <v>116</v>
      </c>
    </row>
    <row r="9" customFormat="false" ht="15" hidden="false" customHeight="false" outlineLevel="0" collapsed="false">
      <c r="C9" s="11" t="s">
        <v>117</v>
      </c>
      <c r="H9" s="11" t="s">
        <v>118</v>
      </c>
      <c r="L9" s="11" t="s">
        <v>119</v>
      </c>
    </row>
    <row r="10" customFormat="false" ht="15" hidden="false" customHeight="false" outlineLevel="0" collapsed="false">
      <c r="H10" s="11" t="s">
        <v>120</v>
      </c>
    </row>
    <row r="11" customFormat="false" ht="15" hidden="false" customHeight="false" outlineLevel="0" collapsed="false">
      <c r="H11" s="11" t="s">
        <v>121</v>
      </c>
    </row>
    <row r="12" customFormat="false" ht="15" hidden="false" customHeight="false" outlineLevel="0" collapsed="false">
      <c r="H12" s="11" t="s">
        <v>122</v>
      </c>
    </row>
    <row r="13" customFormat="false" ht="15" hidden="false" customHeight="false" outlineLevel="0" collapsed="false">
      <c r="H13" s="11" t="s">
        <v>123</v>
      </c>
    </row>
    <row r="14" customFormat="false" ht="15" hidden="false" customHeight="false" outlineLevel="0" collapsed="false">
      <c r="H14" s="11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B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6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20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7" min="16" style="0" width="13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6"/>
    <col collapsed="false" customWidth="true" hidden="false" outlineLevel="0" max="25" min="24" style="0" width="13"/>
    <col collapsed="false" customWidth="true" hidden="false" outlineLevel="0" max="26" min="26" style="0" width="10"/>
    <col collapsed="false" customWidth="true" hidden="false" outlineLevel="0" max="27" min="27" style="0" width="26"/>
    <col collapsed="false" customWidth="true" hidden="false" outlineLevel="0" max="28" min="28" style="0" width="34"/>
  </cols>
  <sheetData>
    <row r="1" customFormat="false" ht="18" hidden="false" customHeight="true" outlineLevel="0" collapsed="false">
      <c r="A1" s="12" t="s">
        <v>125</v>
      </c>
      <c r="B1" s="12"/>
      <c r="C1" s="12"/>
      <c r="D1" s="12"/>
      <c r="E1" s="12" t="s">
        <v>126</v>
      </c>
      <c r="F1" s="12"/>
      <c r="G1" s="12"/>
      <c r="H1" s="12"/>
      <c r="I1" s="12"/>
      <c r="J1" s="12"/>
      <c r="K1" s="12" t="s">
        <v>127</v>
      </c>
      <c r="L1" s="12"/>
      <c r="M1" s="12"/>
      <c r="N1" s="12"/>
      <c r="O1" s="12"/>
      <c r="P1" s="12"/>
      <c r="Q1" s="12"/>
      <c r="R1" s="12"/>
      <c r="S1" s="12"/>
      <c r="T1" s="12" t="s">
        <v>128</v>
      </c>
      <c r="U1" s="12"/>
      <c r="V1" s="12"/>
      <c r="W1" s="12"/>
      <c r="X1" s="12" t="s">
        <v>129</v>
      </c>
      <c r="Y1" s="12"/>
      <c r="Z1" s="12" t="s">
        <v>130</v>
      </c>
      <c r="AA1" s="12"/>
      <c r="AB1" s="12"/>
    </row>
    <row r="2" customFormat="false" ht="42" hidden="false" customHeight="true" outlineLevel="0" collapsed="false">
      <c r="A2" s="13" t="s">
        <v>34</v>
      </c>
      <c r="B2" s="13" t="s">
        <v>131</v>
      </c>
      <c r="C2" s="13" t="s">
        <v>132</v>
      </c>
      <c r="D2" s="13" t="s">
        <v>38</v>
      </c>
      <c r="E2" s="13" t="s">
        <v>133</v>
      </c>
      <c r="F2" s="13" t="s">
        <v>134</v>
      </c>
      <c r="G2" s="13" t="s">
        <v>135</v>
      </c>
      <c r="H2" s="13" t="s">
        <v>136</v>
      </c>
      <c r="I2" s="13" t="s">
        <v>137</v>
      </c>
      <c r="J2" s="13" t="s">
        <v>138</v>
      </c>
      <c r="K2" s="13" t="s">
        <v>139</v>
      </c>
      <c r="L2" s="13" t="s">
        <v>140</v>
      </c>
      <c r="M2" s="13" t="s">
        <v>141</v>
      </c>
      <c r="N2" s="13" t="s">
        <v>142</v>
      </c>
      <c r="O2" s="13" t="s">
        <v>143</v>
      </c>
      <c r="P2" s="13" t="s">
        <v>144</v>
      </c>
      <c r="Q2" s="13" t="s">
        <v>145</v>
      </c>
      <c r="R2" s="13" t="s">
        <v>146</v>
      </c>
      <c r="S2" s="13" t="s">
        <v>147</v>
      </c>
      <c r="T2" s="13" t="s">
        <v>148</v>
      </c>
      <c r="U2" s="13" t="s">
        <v>149</v>
      </c>
      <c r="V2" s="13" t="s">
        <v>150</v>
      </c>
      <c r="W2" s="13" t="s">
        <v>151</v>
      </c>
      <c r="X2" s="13" t="s">
        <v>152</v>
      </c>
      <c r="Y2" s="13" t="s">
        <v>153</v>
      </c>
      <c r="Z2" s="13" t="s">
        <v>154</v>
      </c>
      <c r="AA2" s="13" t="s">
        <v>155</v>
      </c>
      <c r="AB2" s="13" t="s">
        <v>156</v>
      </c>
    </row>
    <row r="3" customFormat="false" ht="15" hidden="false" customHeight="false" outlineLevel="0" collapsed="false">
      <c r="A3" s="8" t="s">
        <v>157</v>
      </c>
      <c r="B3" s="8" t="s">
        <v>158</v>
      </c>
      <c r="C3" s="8" t="s">
        <v>159</v>
      </c>
      <c r="D3" s="8" t="s">
        <v>160</v>
      </c>
      <c r="E3" s="8" t="s">
        <v>64</v>
      </c>
      <c r="F3" s="8" t="s">
        <v>65</v>
      </c>
      <c r="G3" s="8" t="s">
        <v>71</v>
      </c>
      <c r="H3" s="8" t="s">
        <v>161</v>
      </c>
      <c r="I3" s="8" t="s">
        <v>162</v>
      </c>
      <c r="J3" s="14" t="s">
        <v>163</v>
      </c>
      <c r="K3" s="8" t="s">
        <v>86</v>
      </c>
      <c r="L3" s="8" t="s">
        <v>164</v>
      </c>
      <c r="M3" s="15" t="n">
        <v>1</v>
      </c>
      <c r="N3" s="15" t="n">
        <v>1</v>
      </c>
      <c r="O3" s="8" t="s">
        <v>70</v>
      </c>
      <c r="P3" s="8" t="s">
        <v>70</v>
      </c>
      <c r="Q3" s="8" t="s">
        <v>84</v>
      </c>
      <c r="R3" s="15" t="n">
        <v>1</v>
      </c>
      <c r="S3" s="8" t="str">
        <f aca="false">IF($M3="","",IF(AND($M3&gt;0,$N3&gt;0),"PASS","FAIL"))</f>
        <v>PASS</v>
      </c>
      <c r="T3" s="16" t="n">
        <v>6.9</v>
      </c>
      <c r="U3" s="16" t="n">
        <v>80.9</v>
      </c>
      <c r="V3" s="17" t="n">
        <v>0</v>
      </c>
      <c r="W3" s="8" t="s">
        <v>165</v>
      </c>
      <c r="X3" s="8" t="s">
        <v>70</v>
      </c>
      <c r="Y3" s="8" t="s">
        <v>84</v>
      </c>
      <c r="Z3" s="8" t="s">
        <v>74</v>
      </c>
      <c r="AA3" s="8"/>
      <c r="AB3" s="8" t="s">
        <v>166</v>
      </c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18"/>
      <c r="K4" s="5"/>
      <c r="L4" s="5"/>
      <c r="M4" s="19"/>
      <c r="N4" s="19"/>
      <c r="O4" s="5"/>
      <c r="P4" s="5"/>
      <c r="Q4" s="5"/>
      <c r="R4" s="19"/>
      <c r="S4" s="7" t="str">
        <f aca="false">IF($M4="","",IF(AND($M4&gt;0,$N4&gt;0),"PASS","FAIL"))</f>
        <v/>
      </c>
      <c r="T4" s="20"/>
      <c r="U4" s="20"/>
      <c r="V4" s="21"/>
      <c r="W4" s="5"/>
      <c r="X4" s="5"/>
      <c r="Y4" s="5"/>
      <c r="Z4" s="5"/>
      <c r="AA4" s="5"/>
      <c r="AB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18"/>
      <c r="K5" s="5"/>
      <c r="L5" s="5"/>
      <c r="M5" s="19"/>
      <c r="N5" s="19"/>
      <c r="O5" s="5"/>
      <c r="P5" s="5"/>
      <c r="Q5" s="5"/>
      <c r="R5" s="19"/>
      <c r="S5" s="7" t="str">
        <f aca="false">IF($M5="","",IF(AND($M5&gt;0,$N5&gt;0),"PASS","FAIL"))</f>
        <v/>
      </c>
      <c r="T5" s="20"/>
      <c r="U5" s="20"/>
      <c r="V5" s="21"/>
      <c r="W5" s="5"/>
      <c r="X5" s="5"/>
      <c r="Y5" s="5"/>
      <c r="Z5" s="5"/>
      <c r="AA5" s="5"/>
      <c r="AB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18"/>
      <c r="K6" s="5"/>
      <c r="L6" s="5"/>
      <c r="M6" s="19"/>
      <c r="N6" s="19"/>
      <c r="O6" s="5"/>
      <c r="P6" s="5"/>
      <c r="Q6" s="5"/>
      <c r="R6" s="19"/>
      <c r="S6" s="7" t="str">
        <f aca="false">IF($M6="","",IF(AND($M6&gt;0,$N6&gt;0),"PASS","FAIL"))</f>
        <v/>
      </c>
      <c r="T6" s="20"/>
      <c r="U6" s="20"/>
      <c r="V6" s="21"/>
      <c r="W6" s="5"/>
      <c r="X6" s="5"/>
      <c r="Y6" s="5"/>
      <c r="Z6" s="5"/>
      <c r="AA6" s="5"/>
      <c r="AB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18"/>
      <c r="K7" s="5"/>
      <c r="L7" s="5"/>
      <c r="M7" s="19"/>
      <c r="N7" s="19"/>
      <c r="O7" s="5"/>
      <c r="P7" s="5"/>
      <c r="Q7" s="5"/>
      <c r="R7" s="19"/>
      <c r="S7" s="7" t="str">
        <f aca="false">IF($M7="","",IF(AND($M7&gt;0,$N7&gt;0),"PASS","FAIL"))</f>
        <v/>
      </c>
      <c r="T7" s="20"/>
      <c r="U7" s="20"/>
      <c r="V7" s="21"/>
      <c r="W7" s="5"/>
      <c r="X7" s="5"/>
      <c r="Y7" s="5"/>
      <c r="Z7" s="5"/>
      <c r="AA7" s="5"/>
      <c r="AB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18"/>
      <c r="K8" s="5"/>
      <c r="L8" s="5"/>
      <c r="M8" s="19"/>
      <c r="N8" s="19"/>
      <c r="O8" s="5"/>
      <c r="P8" s="5"/>
      <c r="Q8" s="5"/>
      <c r="R8" s="19"/>
      <c r="S8" s="7" t="str">
        <f aca="false">IF($M8="","",IF(AND($M8&gt;0,$N8&gt;0),"PASS","FAIL"))</f>
        <v/>
      </c>
      <c r="T8" s="20"/>
      <c r="U8" s="20"/>
      <c r="V8" s="21"/>
      <c r="W8" s="5"/>
      <c r="X8" s="5"/>
      <c r="Y8" s="5"/>
      <c r="Z8" s="5"/>
      <c r="AA8" s="5"/>
      <c r="AB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18"/>
      <c r="K9" s="5"/>
      <c r="L9" s="5"/>
      <c r="M9" s="19"/>
      <c r="N9" s="19"/>
      <c r="O9" s="5"/>
      <c r="P9" s="5"/>
      <c r="Q9" s="5"/>
      <c r="R9" s="19"/>
      <c r="S9" s="7" t="str">
        <f aca="false">IF($M9="","",IF(AND($M9&gt;0,$N9&gt;0),"PASS","FAIL"))</f>
        <v/>
      </c>
      <c r="T9" s="20"/>
      <c r="U9" s="20"/>
      <c r="V9" s="21"/>
      <c r="W9" s="5"/>
      <c r="X9" s="5"/>
      <c r="Y9" s="5"/>
      <c r="Z9" s="5"/>
      <c r="AA9" s="5"/>
      <c r="AB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18"/>
      <c r="K10" s="5"/>
      <c r="L10" s="5"/>
      <c r="M10" s="19"/>
      <c r="N10" s="19"/>
      <c r="O10" s="5"/>
      <c r="P10" s="5"/>
      <c r="Q10" s="5"/>
      <c r="R10" s="19"/>
      <c r="S10" s="7" t="str">
        <f aca="false">IF($M10="","",IF(AND($M10&gt;0,$N10&gt;0),"PASS","FAIL"))</f>
        <v/>
      </c>
      <c r="T10" s="20"/>
      <c r="U10" s="20"/>
      <c r="V10" s="21"/>
      <c r="W10" s="5"/>
      <c r="X10" s="5"/>
      <c r="Y10" s="5"/>
      <c r="Z10" s="5"/>
      <c r="AA10" s="5"/>
      <c r="AB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18"/>
      <c r="K11" s="5"/>
      <c r="L11" s="5"/>
      <c r="M11" s="19"/>
      <c r="N11" s="19"/>
      <c r="O11" s="5"/>
      <c r="P11" s="5"/>
      <c r="Q11" s="5"/>
      <c r="R11" s="19"/>
      <c r="S11" s="7" t="str">
        <f aca="false">IF($M11="","",IF(AND($M11&gt;0,$N11&gt;0),"PASS","FAIL"))</f>
        <v/>
      </c>
      <c r="T11" s="20"/>
      <c r="U11" s="20"/>
      <c r="V11" s="21"/>
      <c r="W11" s="5"/>
      <c r="X11" s="5"/>
      <c r="Y11" s="5"/>
      <c r="Z11" s="5"/>
      <c r="AA11" s="5"/>
      <c r="AB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18"/>
      <c r="K12" s="5"/>
      <c r="L12" s="5"/>
      <c r="M12" s="19"/>
      <c r="N12" s="19"/>
      <c r="O12" s="5"/>
      <c r="P12" s="5"/>
      <c r="Q12" s="5"/>
      <c r="R12" s="19"/>
      <c r="S12" s="7" t="str">
        <f aca="false">IF($M12="","",IF(AND($M12&gt;0,$N12&gt;0),"PASS","FAIL"))</f>
        <v/>
      </c>
      <c r="T12" s="20"/>
      <c r="U12" s="20"/>
      <c r="V12" s="21"/>
      <c r="W12" s="5"/>
      <c r="X12" s="5"/>
      <c r="Y12" s="5"/>
      <c r="Z12" s="5"/>
      <c r="AA12" s="5"/>
      <c r="AB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18"/>
      <c r="K13" s="5"/>
      <c r="L13" s="5"/>
      <c r="M13" s="19"/>
      <c r="N13" s="19"/>
      <c r="O13" s="5"/>
      <c r="P13" s="5"/>
      <c r="Q13" s="5"/>
      <c r="R13" s="19"/>
      <c r="S13" s="7" t="str">
        <f aca="false">IF($M13="","",IF(AND($M13&gt;0,$N13&gt;0),"PASS","FAIL"))</f>
        <v/>
      </c>
      <c r="T13" s="20"/>
      <c r="U13" s="20"/>
      <c r="V13" s="21"/>
      <c r="W13" s="5"/>
      <c r="X13" s="5"/>
      <c r="Y13" s="5"/>
      <c r="Z13" s="5"/>
      <c r="AA13" s="5"/>
      <c r="AB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18"/>
      <c r="K14" s="5"/>
      <c r="L14" s="5"/>
      <c r="M14" s="19"/>
      <c r="N14" s="19"/>
      <c r="O14" s="5"/>
      <c r="P14" s="5"/>
      <c r="Q14" s="5"/>
      <c r="R14" s="19"/>
      <c r="S14" s="7" t="str">
        <f aca="false">IF($M14="","",IF(AND($M14&gt;0,$N14&gt;0),"PASS","FAIL"))</f>
        <v/>
      </c>
      <c r="T14" s="20"/>
      <c r="U14" s="20"/>
      <c r="V14" s="21"/>
      <c r="W14" s="5"/>
      <c r="X14" s="5"/>
      <c r="Y14" s="5"/>
      <c r="Z14" s="5"/>
      <c r="AA14" s="5"/>
      <c r="AB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18"/>
      <c r="K15" s="5"/>
      <c r="L15" s="5"/>
      <c r="M15" s="19"/>
      <c r="N15" s="19"/>
      <c r="O15" s="5"/>
      <c r="P15" s="5"/>
      <c r="Q15" s="5"/>
      <c r="R15" s="19"/>
      <c r="S15" s="7" t="str">
        <f aca="false">IF($M15="","",IF(AND($M15&gt;0,$N15&gt;0),"PASS","FAIL"))</f>
        <v/>
      </c>
      <c r="T15" s="20"/>
      <c r="U15" s="20"/>
      <c r="V15" s="21"/>
      <c r="W15" s="5"/>
      <c r="X15" s="5"/>
      <c r="Y15" s="5"/>
      <c r="Z15" s="5"/>
      <c r="AA15" s="5"/>
      <c r="AB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18"/>
      <c r="K16" s="5"/>
      <c r="L16" s="5"/>
      <c r="M16" s="19"/>
      <c r="N16" s="19"/>
      <c r="O16" s="5"/>
      <c r="P16" s="5"/>
      <c r="Q16" s="5"/>
      <c r="R16" s="19"/>
      <c r="S16" s="7" t="str">
        <f aca="false">IF($M16="","",IF(AND($M16&gt;0,$N16&gt;0),"PASS","FAIL"))</f>
        <v/>
      </c>
      <c r="T16" s="20"/>
      <c r="U16" s="20"/>
      <c r="V16" s="21"/>
      <c r="W16" s="5"/>
      <c r="X16" s="5"/>
      <c r="Y16" s="5"/>
      <c r="Z16" s="5"/>
      <c r="AA16" s="5"/>
      <c r="AB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18"/>
      <c r="K17" s="5"/>
      <c r="L17" s="5"/>
      <c r="M17" s="19"/>
      <c r="N17" s="19"/>
      <c r="O17" s="5"/>
      <c r="P17" s="5"/>
      <c r="Q17" s="5"/>
      <c r="R17" s="19"/>
      <c r="S17" s="7" t="str">
        <f aca="false">IF($M17="","",IF(AND($M17&gt;0,$N17&gt;0),"PASS","FAIL"))</f>
        <v/>
      </c>
      <c r="T17" s="20"/>
      <c r="U17" s="20"/>
      <c r="V17" s="21"/>
      <c r="W17" s="5"/>
      <c r="X17" s="5"/>
      <c r="Y17" s="5"/>
      <c r="Z17" s="5"/>
      <c r="AA17" s="5"/>
      <c r="AB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18"/>
      <c r="K18" s="5"/>
      <c r="L18" s="5"/>
      <c r="M18" s="19"/>
      <c r="N18" s="19"/>
      <c r="O18" s="5"/>
      <c r="P18" s="5"/>
      <c r="Q18" s="5"/>
      <c r="R18" s="19"/>
      <c r="S18" s="7" t="str">
        <f aca="false">IF($M18="","",IF(AND($M18&gt;0,$N18&gt;0),"PASS","FAIL"))</f>
        <v/>
      </c>
      <c r="T18" s="20"/>
      <c r="U18" s="20"/>
      <c r="V18" s="21"/>
      <c r="W18" s="5"/>
      <c r="X18" s="5"/>
      <c r="Y18" s="5"/>
      <c r="Z18" s="5"/>
      <c r="AA18" s="5"/>
      <c r="AB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18"/>
      <c r="K19" s="5"/>
      <c r="L19" s="5"/>
      <c r="M19" s="19"/>
      <c r="N19" s="19"/>
      <c r="O19" s="5"/>
      <c r="P19" s="5"/>
      <c r="Q19" s="5"/>
      <c r="R19" s="19"/>
      <c r="S19" s="7" t="str">
        <f aca="false">IF($M19="","",IF(AND($M19&gt;0,$N19&gt;0),"PASS","FAIL"))</f>
        <v/>
      </c>
      <c r="T19" s="20"/>
      <c r="U19" s="20"/>
      <c r="V19" s="21"/>
      <c r="W19" s="5"/>
      <c r="X19" s="5"/>
      <c r="Y19" s="5"/>
      <c r="Z19" s="5"/>
      <c r="AA19" s="5"/>
      <c r="AB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18"/>
      <c r="K20" s="5"/>
      <c r="L20" s="5"/>
      <c r="M20" s="19"/>
      <c r="N20" s="19"/>
      <c r="O20" s="5"/>
      <c r="P20" s="5"/>
      <c r="Q20" s="5"/>
      <c r="R20" s="19"/>
      <c r="S20" s="7" t="str">
        <f aca="false">IF($M20="","",IF(AND($M20&gt;0,$N20&gt;0),"PASS","FAIL"))</f>
        <v/>
      </c>
      <c r="T20" s="20"/>
      <c r="U20" s="20"/>
      <c r="V20" s="21"/>
      <c r="W20" s="5"/>
      <c r="X20" s="5"/>
      <c r="Y20" s="5"/>
      <c r="Z20" s="5"/>
      <c r="AA20" s="5"/>
      <c r="AB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18"/>
      <c r="K21" s="5"/>
      <c r="L21" s="5"/>
      <c r="M21" s="19"/>
      <c r="N21" s="19"/>
      <c r="O21" s="5"/>
      <c r="P21" s="5"/>
      <c r="Q21" s="5"/>
      <c r="R21" s="19"/>
      <c r="S21" s="7" t="str">
        <f aca="false">IF($M21="","",IF(AND($M21&gt;0,$N21&gt;0),"PASS","FAIL"))</f>
        <v/>
      </c>
      <c r="T21" s="20"/>
      <c r="U21" s="20"/>
      <c r="V21" s="21"/>
      <c r="W21" s="5"/>
      <c r="X21" s="5"/>
      <c r="Y21" s="5"/>
      <c r="Z21" s="5"/>
      <c r="AA21" s="5"/>
      <c r="AB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18"/>
      <c r="K22" s="5"/>
      <c r="L22" s="5"/>
      <c r="M22" s="19"/>
      <c r="N22" s="19"/>
      <c r="O22" s="5"/>
      <c r="P22" s="5"/>
      <c r="Q22" s="5"/>
      <c r="R22" s="19"/>
      <c r="S22" s="7" t="str">
        <f aca="false">IF($M22="","",IF(AND($M22&gt;0,$N22&gt;0),"PASS","FAIL"))</f>
        <v/>
      </c>
      <c r="T22" s="20"/>
      <c r="U22" s="20"/>
      <c r="V22" s="21"/>
      <c r="W22" s="5"/>
      <c r="X22" s="5"/>
      <c r="Y22" s="5"/>
      <c r="Z22" s="5"/>
      <c r="AA22" s="5"/>
      <c r="AB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18"/>
      <c r="K23" s="5"/>
      <c r="L23" s="5"/>
      <c r="M23" s="19"/>
      <c r="N23" s="19"/>
      <c r="O23" s="5"/>
      <c r="P23" s="5"/>
      <c r="Q23" s="5"/>
      <c r="R23" s="19"/>
      <c r="S23" s="7" t="str">
        <f aca="false">IF($M23="","",IF(AND($M23&gt;0,$N23&gt;0),"PASS","FAIL"))</f>
        <v/>
      </c>
      <c r="T23" s="20"/>
      <c r="U23" s="20"/>
      <c r="V23" s="21"/>
      <c r="W23" s="5"/>
      <c r="X23" s="5"/>
      <c r="Y23" s="5"/>
      <c r="Z23" s="5"/>
      <c r="AA23" s="5"/>
      <c r="AB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18"/>
      <c r="K24" s="5"/>
      <c r="L24" s="5"/>
      <c r="M24" s="19"/>
      <c r="N24" s="19"/>
      <c r="O24" s="5"/>
      <c r="P24" s="5"/>
      <c r="Q24" s="5"/>
      <c r="R24" s="19"/>
      <c r="S24" s="7" t="str">
        <f aca="false">IF($M24="","",IF(AND($M24&gt;0,$N24&gt;0),"PASS","FAIL"))</f>
        <v/>
      </c>
      <c r="T24" s="20"/>
      <c r="U24" s="20"/>
      <c r="V24" s="21"/>
      <c r="W24" s="5"/>
      <c r="X24" s="5"/>
      <c r="Y24" s="5"/>
      <c r="Z24" s="5"/>
      <c r="AA24" s="5"/>
      <c r="AB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18"/>
      <c r="K25" s="5"/>
      <c r="L25" s="5"/>
      <c r="M25" s="19"/>
      <c r="N25" s="19"/>
      <c r="O25" s="5"/>
      <c r="P25" s="5"/>
      <c r="Q25" s="5"/>
      <c r="R25" s="19"/>
      <c r="S25" s="7" t="str">
        <f aca="false">IF($M25="","",IF(AND($M25&gt;0,$N25&gt;0),"PASS","FAIL"))</f>
        <v/>
      </c>
      <c r="T25" s="20"/>
      <c r="U25" s="20"/>
      <c r="V25" s="21"/>
      <c r="W25" s="5"/>
      <c r="X25" s="5"/>
      <c r="Y25" s="5"/>
      <c r="Z25" s="5"/>
      <c r="AA25" s="5"/>
      <c r="AB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18"/>
      <c r="K26" s="5"/>
      <c r="L26" s="5"/>
      <c r="M26" s="19"/>
      <c r="N26" s="19"/>
      <c r="O26" s="5"/>
      <c r="P26" s="5"/>
      <c r="Q26" s="5"/>
      <c r="R26" s="19"/>
      <c r="S26" s="7" t="str">
        <f aca="false">IF($M26="","",IF(AND($M26&gt;0,$N26&gt;0),"PASS","FAIL"))</f>
        <v/>
      </c>
      <c r="T26" s="20"/>
      <c r="U26" s="20"/>
      <c r="V26" s="21"/>
      <c r="W26" s="5"/>
      <c r="X26" s="5"/>
      <c r="Y26" s="5"/>
      <c r="Z26" s="5"/>
      <c r="AA26" s="5"/>
      <c r="AB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18"/>
      <c r="K27" s="5"/>
      <c r="L27" s="5"/>
      <c r="M27" s="19"/>
      <c r="N27" s="19"/>
      <c r="O27" s="5"/>
      <c r="P27" s="5"/>
      <c r="Q27" s="5"/>
      <c r="R27" s="19"/>
      <c r="S27" s="7" t="str">
        <f aca="false">IF($M27="","",IF(AND($M27&gt;0,$N27&gt;0),"PASS","FAIL"))</f>
        <v/>
      </c>
      <c r="T27" s="20"/>
      <c r="U27" s="20"/>
      <c r="V27" s="21"/>
      <c r="W27" s="5"/>
      <c r="X27" s="5"/>
      <c r="Y27" s="5"/>
      <c r="Z27" s="5"/>
      <c r="AA27" s="5"/>
      <c r="AB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18"/>
      <c r="K28" s="5"/>
      <c r="L28" s="5"/>
      <c r="M28" s="19"/>
      <c r="N28" s="19"/>
      <c r="O28" s="5"/>
      <c r="P28" s="5"/>
      <c r="Q28" s="5"/>
      <c r="R28" s="19"/>
      <c r="S28" s="7" t="str">
        <f aca="false">IF($M28="","",IF(AND($M28&gt;0,$N28&gt;0),"PASS","FAIL"))</f>
        <v/>
      </c>
      <c r="T28" s="20"/>
      <c r="U28" s="20"/>
      <c r="V28" s="21"/>
      <c r="W28" s="5"/>
      <c r="X28" s="5"/>
      <c r="Y28" s="5"/>
      <c r="Z28" s="5"/>
      <c r="AA28" s="5"/>
      <c r="AB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18"/>
      <c r="K29" s="5"/>
      <c r="L29" s="5"/>
      <c r="M29" s="19"/>
      <c r="N29" s="19"/>
      <c r="O29" s="5"/>
      <c r="P29" s="5"/>
      <c r="Q29" s="5"/>
      <c r="R29" s="19"/>
      <c r="S29" s="7" t="str">
        <f aca="false">IF($M29="","",IF(AND($M29&gt;0,$N29&gt;0),"PASS","FAIL"))</f>
        <v/>
      </c>
      <c r="T29" s="20"/>
      <c r="U29" s="20"/>
      <c r="V29" s="21"/>
      <c r="W29" s="5"/>
      <c r="X29" s="5"/>
      <c r="Y29" s="5"/>
      <c r="Z29" s="5"/>
      <c r="AA29" s="5"/>
      <c r="AB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18"/>
      <c r="K30" s="5"/>
      <c r="L30" s="5"/>
      <c r="M30" s="19"/>
      <c r="N30" s="19"/>
      <c r="O30" s="5"/>
      <c r="P30" s="5"/>
      <c r="Q30" s="5"/>
      <c r="R30" s="19"/>
      <c r="S30" s="7" t="str">
        <f aca="false">IF($M30="","",IF(AND($M30&gt;0,$N30&gt;0),"PASS","FAIL"))</f>
        <v/>
      </c>
      <c r="T30" s="20"/>
      <c r="U30" s="20"/>
      <c r="V30" s="21"/>
      <c r="W30" s="5"/>
      <c r="X30" s="5"/>
      <c r="Y30" s="5"/>
      <c r="Z30" s="5"/>
      <c r="AA30" s="5"/>
      <c r="AB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18"/>
      <c r="K31" s="5"/>
      <c r="L31" s="5"/>
      <c r="M31" s="19"/>
      <c r="N31" s="19"/>
      <c r="O31" s="5"/>
      <c r="P31" s="5"/>
      <c r="Q31" s="5"/>
      <c r="R31" s="19"/>
      <c r="S31" s="7" t="str">
        <f aca="false">IF($M31="","",IF(AND($M31&gt;0,$N31&gt;0),"PASS","FAIL"))</f>
        <v/>
      </c>
      <c r="T31" s="20"/>
      <c r="U31" s="20"/>
      <c r="V31" s="21"/>
      <c r="W31" s="5"/>
      <c r="X31" s="5"/>
      <c r="Y31" s="5"/>
      <c r="Z31" s="5"/>
      <c r="AA31" s="5"/>
      <c r="AB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18"/>
      <c r="K32" s="5"/>
      <c r="L32" s="5"/>
      <c r="M32" s="19"/>
      <c r="N32" s="19"/>
      <c r="O32" s="5"/>
      <c r="P32" s="5"/>
      <c r="Q32" s="5"/>
      <c r="R32" s="19"/>
      <c r="S32" s="7" t="str">
        <f aca="false">IF($M32="","",IF(AND($M32&gt;0,$N32&gt;0),"PASS","FAIL"))</f>
        <v/>
      </c>
      <c r="T32" s="20"/>
      <c r="U32" s="20"/>
      <c r="V32" s="21"/>
      <c r="W32" s="5"/>
      <c r="X32" s="5"/>
      <c r="Y32" s="5"/>
      <c r="Z32" s="5"/>
      <c r="AA32" s="5"/>
      <c r="AB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18"/>
      <c r="K33" s="5"/>
      <c r="L33" s="5"/>
      <c r="M33" s="19"/>
      <c r="N33" s="19"/>
      <c r="O33" s="5"/>
      <c r="P33" s="5"/>
      <c r="Q33" s="5"/>
      <c r="R33" s="19"/>
      <c r="S33" s="7" t="str">
        <f aca="false">IF($M33="","",IF(AND($M33&gt;0,$N33&gt;0),"PASS","FAIL"))</f>
        <v/>
      </c>
      <c r="T33" s="20"/>
      <c r="U33" s="20"/>
      <c r="V33" s="21"/>
      <c r="W33" s="5"/>
      <c r="X33" s="5"/>
      <c r="Y33" s="5"/>
      <c r="Z33" s="5"/>
      <c r="AA33" s="5"/>
      <c r="AB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18"/>
      <c r="K34" s="5"/>
      <c r="L34" s="5"/>
      <c r="M34" s="19"/>
      <c r="N34" s="19"/>
      <c r="O34" s="5"/>
      <c r="P34" s="5"/>
      <c r="Q34" s="5"/>
      <c r="R34" s="19"/>
      <c r="S34" s="7" t="str">
        <f aca="false">IF($M34="","",IF(AND($M34&gt;0,$N34&gt;0),"PASS","FAIL"))</f>
        <v/>
      </c>
      <c r="T34" s="20"/>
      <c r="U34" s="20"/>
      <c r="V34" s="21"/>
      <c r="W34" s="5"/>
      <c r="X34" s="5"/>
      <c r="Y34" s="5"/>
      <c r="Z34" s="5"/>
      <c r="AA34" s="5"/>
      <c r="AB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18"/>
      <c r="K35" s="5"/>
      <c r="L35" s="5"/>
      <c r="M35" s="19"/>
      <c r="N35" s="19"/>
      <c r="O35" s="5"/>
      <c r="P35" s="5"/>
      <c r="Q35" s="5"/>
      <c r="R35" s="19"/>
      <c r="S35" s="7" t="str">
        <f aca="false">IF($M35="","",IF(AND($M35&gt;0,$N35&gt;0),"PASS","FAIL"))</f>
        <v/>
      </c>
      <c r="T35" s="20"/>
      <c r="U35" s="20"/>
      <c r="V35" s="21"/>
      <c r="W35" s="5"/>
      <c r="X35" s="5"/>
      <c r="Y35" s="5"/>
      <c r="Z35" s="5"/>
      <c r="AA35" s="5"/>
      <c r="AB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18"/>
      <c r="K36" s="5"/>
      <c r="L36" s="5"/>
      <c r="M36" s="19"/>
      <c r="N36" s="19"/>
      <c r="O36" s="5"/>
      <c r="P36" s="5"/>
      <c r="Q36" s="5"/>
      <c r="R36" s="19"/>
      <c r="S36" s="7" t="str">
        <f aca="false">IF($M36="","",IF(AND($M36&gt;0,$N36&gt;0),"PASS","FAIL"))</f>
        <v/>
      </c>
      <c r="T36" s="20"/>
      <c r="U36" s="20"/>
      <c r="V36" s="21"/>
      <c r="W36" s="5"/>
      <c r="X36" s="5"/>
      <c r="Y36" s="5"/>
      <c r="Z36" s="5"/>
      <c r="AA36" s="5"/>
      <c r="AB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18"/>
      <c r="K37" s="5"/>
      <c r="L37" s="5"/>
      <c r="M37" s="19"/>
      <c r="N37" s="19"/>
      <c r="O37" s="5"/>
      <c r="P37" s="5"/>
      <c r="Q37" s="5"/>
      <c r="R37" s="19"/>
      <c r="S37" s="7" t="str">
        <f aca="false">IF($M37="","",IF(AND($M37&gt;0,$N37&gt;0),"PASS","FAIL"))</f>
        <v/>
      </c>
      <c r="T37" s="20"/>
      <c r="U37" s="20"/>
      <c r="V37" s="21"/>
      <c r="W37" s="5"/>
      <c r="X37" s="5"/>
      <c r="Y37" s="5"/>
      <c r="Z37" s="5"/>
      <c r="AA37" s="5"/>
      <c r="AB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18"/>
      <c r="K38" s="5"/>
      <c r="L38" s="5"/>
      <c r="M38" s="19"/>
      <c r="N38" s="19"/>
      <c r="O38" s="5"/>
      <c r="P38" s="5"/>
      <c r="Q38" s="5"/>
      <c r="R38" s="19"/>
      <c r="S38" s="7" t="str">
        <f aca="false">IF($M38="","",IF(AND($M38&gt;0,$N38&gt;0),"PASS","FAIL"))</f>
        <v/>
      </c>
      <c r="T38" s="20"/>
      <c r="U38" s="20"/>
      <c r="V38" s="21"/>
      <c r="W38" s="5"/>
      <c r="X38" s="5"/>
      <c r="Y38" s="5"/>
      <c r="Z38" s="5"/>
      <c r="AA38" s="5"/>
      <c r="AB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18"/>
      <c r="K39" s="5"/>
      <c r="L39" s="5"/>
      <c r="M39" s="19"/>
      <c r="N39" s="19"/>
      <c r="O39" s="5"/>
      <c r="P39" s="5"/>
      <c r="Q39" s="5"/>
      <c r="R39" s="19"/>
      <c r="S39" s="7" t="str">
        <f aca="false">IF($M39="","",IF(AND($M39&gt;0,$N39&gt;0),"PASS","FAIL"))</f>
        <v/>
      </c>
      <c r="T39" s="20"/>
      <c r="U39" s="20"/>
      <c r="V39" s="21"/>
      <c r="W39" s="5"/>
      <c r="X39" s="5"/>
      <c r="Y39" s="5"/>
      <c r="Z39" s="5"/>
      <c r="AA39" s="5"/>
      <c r="AB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18"/>
      <c r="K40" s="5"/>
      <c r="L40" s="5"/>
      <c r="M40" s="19"/>
      <c r="N40" s="19"/>
      <c r="O40" s="5"/>
      <c r="P40" s="5"/>
      <c r="Q40" s="5"/>
      <c r="R40" s="19"/>
      <c r="S40" s="7" t="str">
        <f aca="false">IF($M40="","",IF(AND($M40&gt;0,$N40&gt;0),"PASS","FAIL"))</f>
        <v/>
      </c>
      <c r="T40" s="20"/>
      <c r="U40" s="20"/>
      <c r="V40" s="21"/>
      <c r="W40" s="5"/>
      <c r="X40" s="5"/>
      <c r="Y40" s="5"/>
      <c r="Z40" s="5"/>
      <c r="AA40" s="5"/>
      <c r="AB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18"/>
      <c r="K41" s="5"/>
      <c r="L41" s="5"/>
      <c r="M41" s="19"/>
      <c r="N41" s="19"/>
      <c r="O41" s="5"/>
      <c r="P41" s="5"/>
      <c r="Q41" s="5"/>
      <c r="R41" s="19"/>
      <c r="S41" s="7" t="str">
        <f aca="false">IF($M41="","",IF(AND($M41&gt;0,$N41&gt;0),"PASS","FAIL"))</f>
        <v/>
      </c>
      <c r="T41" s="20"/>
      <c r="U41" s="20"/>
      <c r="V41" s="21"/>
      <c r="W41" s="5"/>
      <c r="X41" s="5"/>
      <c r="Y41" s="5"/>
      <c r="Z41" s="5"/>
      <c r="AA41" s="5"/>
      <c r="AB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18"/>
      <c r="K42" s="5"/>
      <c r="L42" s="5"/>
      <c r="M42" s="19"/>
      <c r="N42" s="19"/>
      <c r="O42" s="5"/>
      <c r="P42" s="5"/>
      <c r="Q42" s="5"/>
      <c r="R42" s="19"/>
      <c r="S42" s="7" t="str">
        <f aca="false">IF($M42="","",IF(AND($M42&gt;0,$N42&gt;0),"PASS","FAIL"))</f>
        <v/>
      </c>
      <c r="T42" s="20"/>
      <c r="U42" s="20"/>
      <c r="V42" s="21"/>
      <c r="W42" s="5"/>
      <c r="X42" s="5"/>
      <c r="Y42" s="5"/>
      <c r="Z42" s="5"/>
      <c r="AA42" s="5"/>
      <c r="AB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18"/>
      <c r="K43" s="5"/>
      <c r="L43" s="5"/>
      <c r="M43" s="19"/>
      <c r="N43" s="19"/>
      <c r="O43" s="5"/>
      <c r="P43" s="5"/>
      <c r="Q43" s="5"/>
      <c r="R43" s="19"/>
      <c r="S43" s="7" t="str">
        <f aca="false">IF($M43="","",IF(AND($M43&gt;0,$N43&gt;0),"PASS","FAIL"))</f>
        <v/>
      </c>
      <c r="T43" s="20"/>
      <c r="U43" s="20"/>
      <c r="V43" s="21"/>
      <c r="W43" s="5"/>
      <c r="X43" s="5"/>
      <c r="Y43" s="5"/>
      <c r="Z43" s="5"/>
      <c r="AA43" s="5"/>
      <c r="AB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18"/>
      <c r="K44" s="5"/>
      <c r="L44" s="5"/>
      <c r="M44" s="19"/>
      <c r="N44" s="19"/>
      <c r="O44" s="5"/>
      <c r="P44" s="5"/>
      <c r="Q44" s="5"/>
      <c r="R44" s="19"/>
      <c r="S44" s="7" t="str">
        <f aca="false">IF($M44="","",IF(AND($M44&gt;0,$N44&gt;0),"PASS","FAIL"))</f>
        <v/>
      </c>
      <c r="T44" s="20"/>
      <c r="U44" s="20"/>
      <c r="V44" s="21"/>
      <c r="W44" s="5"/>
      <c r="X44" s="5"/>
      <c r="Y44" s="5"/>
      <c r="Z44" s="5"/>
      <c r="AA44" s="5"/>
      <c r="AB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18"/>
      <c r="K45" s="5"/>
      <c r="L45" s="5"/>
      <c r="M45" s="19"/>
      <c r="N45" s="19"/>
      <c r="O45" s="5"/>
      <c r="P45" s="5"/>
      <c r="Q45" s="5"/>
      <c r="R45" s="19"/>
      <c r="S45" s="7" t="str">
        <f aca="false">IF($M45="","",IF(AND($M45&gt;0,$N45&gt;0),"PASS","FAIL"))</f>
        <v/>
      </c>
      <c r="T45" s="20"/>
      <c r="U45" s="20"/>
      <c r="V45" s="21"/>
      <c r="W45" s="5"/>
      <c r="X45" s="5"/>
      <c r="Y45" s="5"/>
      <c r="Z45" s="5"/>
      <c r="AA45" s="5"/>
      <c r="AB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18"/>
      <c r="K46" s="5"/>
      <c r="L46" s="5"/>
      <c r="M46" s="19"/>
      <c r="N46" s="19"/>
      <c r="O46" s="5"/>
      <c r="P46" s="5"/>
      <c r="Q46" s="5"/>
      <c r="R46" s="19"/>
      <c r="S46" s="7" t="str">
        <f aca="false">IF($M46="","",IF(AND($M46&gt;0,$N46&gt;0),"PASS","FAIL"))</f>
        <v/>
      </c>
      <c r="T46" s="20"/>
      <c r="U46" s="20"/>
      <c r="V46" s="21"/>
      <c r="W46" s="5"/>
      <c r="X46" s="5"/>
      <c r="Y46" s="5"/>
      <c r="Z46" s="5"/>
      <c r="AA46" s="5"/>
      <c r="AB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18"/>
      <c r="K47" s="5"/>
      <c r="L47" s="5"/>
      <c r="M47" s="19"/>
      <c r="N47" s="19"/>
      <c r="O47" s="5"/>
      <c r="P47" s="5"/>
      <c r="Q47" s="5"/>
      <c r="R47" s="19"/>
      <c r="S47" s="7" t="str">
        <f aca="false">IF($M47="","",IF(AND($M47&gt;0,$N47&gt;0),"PASS","FAIL"))</f>
        <v/>
      </c>
      <c r="T47" s="20"/>
      <c r="U47" s="20"/>
      <c r="V47" s="21"/>
      <c r="W47" s="5"/>
      <c r="X47" s="5"/>
      <c r="Y47" s="5"/>
      <c r="Z47" s="5"/>
      <c r="AA47" s="5"/>
      <c r="AB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18"/>
      <c r="K48" s="5"/>
      <c r="L48" s="5"/>
      <c r="M48" s="19"/>
      <c r="N48" s="19"/>
      <c r="O48" s="5"/>
      <c r="P48" s="5"/>
      <c r="Q48" s="5"/>
      <c r="R48" s="19"/>
      <c r="S48" s="7" t="str">
        <f aca="false">IF($M48="","",IF(AND($M48&gt;0,$N48&gt;0),"PASS","FAIL"))</f>
        <v/>
      </c>
      <c r="T48" s="20"/>
      <c r="U48" s="20"/>
      <c r="V48" s="21"/>
      <c r="W48" s="5"/>
      <c r="X48" s="5"/>
      <c r="Y48" s="5"/>
      <c r="Z48" s="5"/>
      <c r="AA48" s="5"/>
      <c r="AB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18"/>
      <c r="K49" s="5"/>
      <c r="L49" s="5"/>
      <c r="M49" s="19"/>
      <c r="N49" s="19"/>
      <c r="O49" s="5"/>
      <c r="P49" s="5"/>
      <c r="Q49" s="5"/>
      <c r="R49" s="19"/>
      <c r="S49" s="7" t="str">
        <f aca="false">IF($M49="","",IF(AND($M49&gt;0,$N49&gt;0),"PASS","FAIL"))</f>
        <v/>
      </c>
      <c r="T49" s="20"/>
      <c r="U49" s="20"/>
      <c r="V49" s="21"/>
      <c r="W49" s="5"/>
      <c r="X49" s="5"/>
      <c r="Y49" s="5"/>
      <c r="Z49" s="5"/>
      <c r="AA49" s="5"/>
      <c r="AB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18"/>
      <c r="K50" s="5"/>
      <c r="L50" s="5"/>
      <c r="M50" s="19"/>
      <c r="N50" s="19"/>
      <c r="O50" s="5"/>
      <c r="P50" s="5"/>
      <c r="Q50" s="5"/>
      <c r="R50" s="19"/>
      <c r="S50" s="7" t="str">
        <f aca="false">IF($M50="","",IF(AND($M50&gt;0,$N50&gt;0),"PASS","FAIL"))</f>
        <v/>
      </c>
      <c r="T50" s="20"/>
      <c r="U50" s="20"/>
      <c r="V50" s="21"/>
      <c r="W50" s="5"/>
      <c r="X50" s="5"/>
      <c r="Y50" s="5"/>
      <c r="Z50" s="5"/>
      <c r="AA50" s="5"/>
      <c r="AB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18"/>
      <c r="K51" s="5"/>
      <c r="L51" s="5"/>
      <c r="M51" s="19"/>
      <c r="N51" s="19"/>
      <c r="O51" s="5"/>
      <c r="P51" s="5"/>
      <c r="Q51" s="5"/>
      <c r="R51" s="19"/>
      <c r="S51" s="7" t="str">
        <f aca="false">IF($M51="","",IF(AND($M51&gt;0,$N51&gt;0),"PASS","FAIL"))</f>
        <v/>
      </c>
      <c r="T51" s="20"/>
      <c r="U51" s="20"/>
      <c r="V51" s="21"/>
      <c r="W51" s="5"/>
      <c r="X51" s="5"/>
      <c r="Y51" s="5"/>
      <c r="Z51" s="5"/>
      <c r="AA51" s="5"/>
      <c r="AB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18"/>
      <c r="K52" s="5"/>
      <c r="L52" s="5"/>
      <c r="M52" s="19"/>
      <c r="N52" s="19"/>
      <c r="O52" s="5"/>
      <c r="P52" s="5"/>
      <c r="Q52" s="5"/>
      <c r="R52" s="19"/>
      <c r="S52" s="7" t="str">
        <f aca="false">IF($M52="","",IF(AND($M52&gt;0,$N52&gt;0),"PASS","FAIL"))</f>
        <v/>
      </c>
      <c r="T52" s="20"/>
      <c r="U52" s="20"/>
      <c r="V52" s="21"/>
      <c r="W52" s="5"/>
      <c r="X52" s="5"/>
      <c r="Y52" s="5"/>
      <c r="Z52" s="5"/>
      <c r="AA52" s="5"/>
      <c r="AB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18"/>
      <c r="K53" s="5"/>
      <c r="L53" s="5"/>
      <c r="M53" s="19"/>
      <c r="N53" s="19"/>
      <c r="O53" s="5"/>
      <c r="P53" s="5"/>
      <c r="Q53" s="5"/>
      <c r="R53" s="19"/>
      <c r="S53" s="7" t="str">
        <f aca="false">IF($M53="","",IF(AND($M53&gt;0,$N53&gt;0),"PASS","FAIL"))</f>
        <v/>
      </c>
      <c r="T53" s="20"/>
      <c r="U53" s="20"/>
      <c r="V53" s="21"/>
      <c r="W53" s="5"/>
      <c r="X53" s="5"/>
      <c r="Y53" s="5"/>
      <c r="Z53" s="5"/>
      <c r="AA53" s="5"/>
      <c r="AB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18"/>
      <c r="K54" s="5"/>
      <c r="L54" s="5"/>
      <c r="M54" s="19"/>
      <c r="N54" s="19"/>
      <c r="O54" s="5"/>
      <c r="P54" s="5"/>
      <c r="Q54" s="5"/>
      <c r="R54" s="19"/>
      <c r="S54" s="7" t="str">
        <f aca="false">IF($M54="","",IF(AND($M54&gt;0,$N54&gt;0),"PASS","FAIL"))</f>
        <v/>
      </c>
      <c r="T54" s="20"/>
      <c r="U54" s="20"/>
      <c r="V54" s="21"/>
      <c r="W54" s="5"/>
      <c r="X54" s="5"/>
      <c r="Y54" s="5"/>
      <c r="Z54" s="5"/>
      <c r="AA54" s="5"/>
      <c r="AB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18"/>
      <c r="K55" s="5"/>
      <c r="L55" s="5"/>
      <c r="M55" s="19"/>
      <c r="N55" s="19"/>
      <c r="O55" s="5"/>
      <c r="P55" s="5"/>
      <c r="Q55" s="5"/>
      <c r="R55" s="19"/>
      <c r="S55" s="7" t="str">
        <f aca="false">IF($M55="","",IF(AND($M55&gt;0,$N55&gt;0),"PASS","FAIL"))</f>
        <v/>
      </c>
      <c r="T55" s="20"/>
      <c r="U55" s="20"/>
      <c r="V55" s="21"/>
      <c r="W55" s="5"/>
      <c r="X55" s="5"/>
      <c r="Y55" s="5"/>
      <c r="Z55" s="5"/>
      <c r="AA55" s="5"/>
      <c r="AB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18"/>
      <c r="K56" s="5"/>
      <c r="L56" s="5"/>
      <c r="M56" s="19"/>
      <c r="N56" s="19"/>
      <c r="O56" s="5"/>
      <c r="P56" s="5"/>
      <c r="Q56" s="5"/>
      <c r="R56" s="19"/>
      <c r="S56" s="7" t="str">
        <f aca="false">IF($M56="","",IF(AND($M56&gt;0,$N56&gt;0),"PASS","FAIL"))</f>
        <v/>
      </c>
      <c r="T56" s="20"/>
      <c r="U56" s="20"/>
      <c r="V56" s="21"/>
      <c r="W56" s="5"/>
      <c r="X56" s="5"/>
      <c r="Y56" s="5"/>
      <c r="Z56" s="5"/>
      <c r="AA56" s="5"/>
      <c r="AB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18"/>
      <c r="K57" s="5"/>
      <c r="L57" s="5"/>
      <c r="M57" s="19"/>
      <c r="N57" s="19"/>
      <c r="O57" s="5"/>
      <c r="P57" s="5"/>
      <c r="Q57" s="5"/>
      <c r="R57" s="19"/>
      <c r="S57" s="7" t="str">
        <f aca="false">IF($M57="","",IF(AND($M57&gt;0,$N57&gt;0),"PASS","FAIL"))</f>
        <v/>
      </c>
      <c r="T57" s="20"/>
      <c r="U57" s="20"/>
      <c r="V57" s="21"/>
      <c r="W57" s="5"/>
      <c r="X57" s="5"/>
      <c r="Y57" s="5"/>
      <c r="Z57" s="5"/>
      <c r="AA57" s="5"/>
      <c r="AB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18"/>
      <c r="K58" s="5"/>
      <c r="L58" s="5"/>
      <c r="M58" s="19"/>
      <c r="N58" s="19"/>
      <c r="O58" s="5"/>
      <c r="P58" s="5"/>
      <c r="Q58" s="5"/>
      <c r="R58" s="19"/>
      <c r="S58" s="7" t="str">
        <f aca="false">IF($M58="","",IF(AND($M58&gt;0,$N58&gt;0),"PASS","FAIL"))</f>
        <v/>
      </c>
      <c r="T58" s="20"/>
      <c r="U58" s="20"/>
      <c r="V58" s="21"/>
      <c r="W58" s="5"/>
      <c r="X58" s="5"/>
      <c r="Y58" s="5"/>
      <c r="Z58" s="5"/>
      <c r="AA58" s="5"/>
      <c r="AB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18"/>
      <c r="K59" s="5"/>
      <c r="L59" s="5"/>
      <c r="M59" s="19"/>
      <c r="N59" s="19"/>
      <c r="O59" s="5"/>
      <c r="P59" s="5"/>
      <c r="Q59" s="5"/>
      <c r="R59" s="19"/>
      <c r="S59" s="7" t="str">
        <f aca="false">IF($M59="","",IF(AND($M59&gt;0,$N59&gt;0),"PASS","FAIL"))</f>
        <v/>
      </c>
      <c r="T59" s="20"/>
      <c r="U59" s="20"/>
      <c r="V59" s="21"/>
      <c r="W59" s="5"/>
      <c r="X59" s="5"/>
      <c r="Y59" s="5"/>
      <c r="Z59" s="5"/>
      <c r="AA59" s="5"/>
      <c r="AB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18"/>
      <c r="K60" s="5"/>
      <c r="L60" s="5"/>
      <c r="M60" s="19"/>
      <c r="N60" s="19"/>
      <c r="O60" s="5"/>
      <c r="P60" s="5"/>
      <c r="Q60" s="5"/>
      <c r="R60" s="19"/>
      <c r="S60" s="7" t="str">
        <f aca="false">IF($M60="","",IF(AND($M60&gt;0,$N60&gt;0),"PASS","FAIL"))</f>
        <v/>
      </c>
      <c r="T60" s="20"/>
      <c r="U60" s="20"/>
      <c r="V60" s="21"/>
      <c r="W60" s="5"/>
      <c r="X60" s="5"/>
      <c r="Y60" s="5"/>
      <c r="Z60" s="5"/>
      <c r="AA60" s="5"/>
      <c r="AB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18"/>
      <c r="K61" s="5"/>
      <c r="L61" s="5"/>
      <c r="M61" s="19"/>
      <c r="N61" s="19"/>
      <c r="O61" s="5"/>
      <c r="P61" s="5"/>
      <c r="Q61" s="5"/>
      <c r="R61" s="19"/>
      <c r="S61" s="7" t="str">
        <f aca="false">IF($M61="","",IF(AND($M61&gt;0,$N61&gt;0),"PASS","FAIL"))</f>
        <v/>
      </c>
      <c r="T61" s="20"/>
      <c r="U61" s="20"/>
      <c r="V61" s="21"/>
      <c r="W61" s="5"/>
      <c r="X61" s="5"/>
      <c r="Y61" s="5"/>
      <c r="Z61" s="5"/>
      <c r="AA61" s="5"/>
      <c r="AB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18"/>
      <c r="K62" s="5"/>
      <c r="L62" s="5"/>
      <c r="M62" s="19"/>
      <c r="N62" s="19"/>
      <c r="O62" s="5"/>
      <c r="P62" s="5"/>
      <c r="Q62" s="5"/>
      <c r="R62" s="19"/>
      <c r="S62" s="7" t="str">
        <f aca="false">IF($M62="","",IF(AND($M62&gt;0,$N62&gt;0),"PASS","FAIL"))</f>
        <v/>
      </c>
      <c r="T62" s="20"/>
      <c r="U62" s="20"/>
      <c r="V62" s="21"/>
      <c r="W62" s="5"/>
      <c r="X62" s="5"/>
      <c r="Y62" s="5"/>
      <c r="Z62" s="5"/>
      <c r="AA62" s="5"/>
      <c r="AB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18"/>
      <c r="K63" s="5"/>
      <c r="L63" s="5"/>
      <c r="M63" s="19"/>
      <c r="N63" s="19"/>
      <c r="O63" s="5"/>
      <c r="P63" s="5"/>
      <c r="Q63" s="5"/>
      <c r="R63" s="19"/>
      <c r="S63" s="7" t="str">
        <f aca="false">IF($M63="","",IF(AND($M63&gt;0,$N63&gt;0),"PASS","FAIL"))</f>
        <v/>
      </c>
      <c r="T63" s="20"/>
      <c r="U63" s="20"/>
      <c r="V63" s="21"/>
      <c r="W63" s="5"/>
      <c r="X63" s="5"/>
      <c r="Y63" s="5"/>
      <c r="Z63" s="5"/>
      <c r="AA63" s="5"/>
      <c r="AB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18"/>
      <c r="K64" s="5"/>
      <c r="L64" s="5"/>
      <c r="M64" s="19"/>
      <c r="N64" s="19"/>
      <c r="O64" s="5"/>
      <c r="P64" s="5"/>
      <c r="Q64" s="5"/>
      <c r="R64" s="19"/>
      <c r="S64" s="7" t="str">
        <f aca="false">IF($M64="","",IF(AND($M64&gt;0,$N64&gt;0),"PASS","FAIL"))</f>
        <v/>
      </c>
      <c r="T64" s="20"/>
      <c r="U64" s="20"/>
      <c r="V64" s="21"/>
      <c r="W64" s="5"/>
      <c r="X64" s="5"/>
      <c r="Y64" s="5"/>
      <c r="Z64" s="5"/>
      <c r="AA64" s="5"/>
      <c r="AB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18"/>
      <c r="K65" s="5"/>
      <c r="L65" s="5"/>
      <c r="M65" s="19"/>
      <c r="N65" s="19"/>
      <c r="O65" s="5"/>
      <c r="P65" s="5"/>
      <c r="Q65" s="5"/>
      <c r="R65" s="19"/>
      <c r="S65" s="7" t="str">
        <f aca="false">IF($M65="","",IF(AND($M65&gt;0,$N65&gt;0),"PASS","FAIL"))</f>
        <v/>
      </c>
      <c r="T65" s="20"/>
      <c r="U65" s="20"/>
      <c r="V65" s="21"/>
      <c r="W65" s="5"/>
      <c r="X65" s="5"/>
      <c r="Y65" s="5"/>
      <c r="Z65" s="5"/>
      <c r="AA65" s="5"/>
      <c r="AB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18"/>
      <c r="K66" s="5"/>
      <c r="L66" s="5"/>
      <c r="M66" s="19"/>
      <c r="N66" s="19"/>
      <c r="O66" s="5"/>
      <c r="P66" s="5"/>
      <c r="Q66" s="5"/>
      <c r="R66" s="19"/>
      <c r="S66" s="7" t="str">
        <f aca="false">IF($M66="","",IF(AND($M66&gt;0,$N66&gt;0),"PASS","FAIL"))</f>
        <v/>
      </c>
      <c r="T66" s="20"/>
      <c r="U66" s="20"/>
      <c r="V66" s="21"/>
      <c r="W66" s="5"/>
      <c r="X66" s="5"/>
      <c r="Y66" s="5"/>
      <c r="Z66" s="5"/>
      <c r="AA66" s="5"/>
      <c r="AB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18"/>
      <c r="K67" s="5"/>
      <c r="L67" s="5"/>
      <c r="M67" s="19"/>
      <c r="N67" s="19"/>
      <c r="O67" s="5"/>
      <c r="P67" s="5"/>
      <c r="Q67" s="5"/>
      <c r="R67" s="19"/>
      <c r="S67" s="7" t="str">
        <f aca="false">IF($M67="","",IF(AND($M67&gt;0,$N67&gt;0),"PASS","FAIL"))</f>
        <v/>
      </c>
      <c r="T67" s="20"/>
      <c r="U67" s="20"/>
      <c r="V67" s="21"/>
      <c r="W67" s="5"/>
      <c r="X67" s="5"/>
      <c r="Y67" s="5"/>
      <c r="Z67" s="5"/>
      <c r="AA67" s="5"/>
      <c r="AB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18"/>
      <c r="K68" s="5"/>
      <c r="L68" s="5"/>
      <c r="M68" s="19"/>
      <c r="N68" s="19"/>
      <c r="O68" s="5"/>
      <c r="P68" s="5"/>
      <c r="Q68" s="5"/>
      <c r="R68" s="19"/>
      <c r="S68" s="7" t="str">
        <f aca="false">IF($M68="","",IF(AND($M68&gt;0,$N68&gt;0),"PASS","FAIL"))</f>
        <v/>
      </c>
      <c r="T68" s="20"/>
      <c r="U68" s="20"/>
      <c r="V68" s="21"/>
      <c r="W68" s="5"/>
      <c r="X68" s="5"/>
      <c r="Y68" s="5"/>
      <c r="Z68" s="5"/>
      <c r="AA68" s="5"/>
      <c r="AB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18"/>
      <c r="K69" s="5"/>
      <c r="L69" s="5"/>
      <c r="M69" s="19"/>
      <c r="N69" s="19"/>
      <c r="O69" s="5"/>
      <c r="P69" s="5"/>
      <c r="Q69" s="5"/>
      <c r="R69" s="19"/>
      <c r="S69" s="7" t="str">
        <f aca="false">IF($M69="","",IF(AND($M69&gt;0,$N69&gt;0),"PASS","FAIL"))</f>
        <v/>
      </c>
      <c r="T69" s="20"/>
      <c r="U69" s="20"/>
      <c r="V69" s="21"/>
      <c r="W69" s="5"/>
      <c r="X69" s="5"/>
      <c r="Y69" s="5"/>
      <c r="Z69" s="5"/>
      <c r="AA69" s="5"/>
      <c r="AB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18"/>
      <c r="K70" s="5"/>
      <c r="L70" s="5"/>
      <c r="M70" s="19"/>
      <c r="N70" s="19"/>
      <c r="O70" s="5"/>
      <c r="P70" s="5"/>
      <c r="Q70" s="5"/>
      <c r="R70" s="19"/>
      <c r="S70" s="7" t="str">
        <f aca="false">IF($M70="","",IF(AND($M70&gt;0,$N70&gt;0),"PASS","FAIL"))</f>
        <v/>
      </c>
      <c r="T70" s="20"/>
      <c r="U70" s="20"/>
      <c r="V70" s="21"/>
      <c r="W70" s="5"/>
      <c r="X70" s="5"/>
      <c r="Y70" s="5"/>
      <c r="Z70" s="5"/>
      <c r="AA70" s="5"/>
      <c r="AB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18"/>
      <c r="K71" s="5"/>
      <c r="L71" s="5"/>
      <c r="M71" s="19"/>
      <c r="N71" s="19"/>
      <c r="O71" s="5"/>
      <c r="P71" s="5"/>
      <c r="Q71" s="5"/>
      <c r="R71" s="19"/>
      <c r="S71" s="7" t="str">
        <f aca="false">IF($M71="","",IF(AND($M71&gt;0,$N71&gt;0),"PASS","FAIL"))</f>
        <v/>
      </c>
      <c r="T71" s="20"/>
      <c r="U71" s="20"/>
      <c r="V71" s="21"/>
      <c r="W71" s="5"/>
      <c r="X71" s="5"/>
      <c r="Y71" s="5"/>
      <c r="Z71" s="5"/>
      <c r="AA71" s="5"/>
      <c r="AB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18"/>
      <c r="K72" s="5"/>
      <c r="L72" s="5"/>
      <c r="M72" s="19"/>
      <c r="N72" s="19"/>
      <c r="O72" s="5"/>
      <c r="P72" s="5"/>
      <c r="Q72" s="5"/>
      <c r="R72" s="19"/>
      <c r="S72" s="7" t="str">
        <f aca="false">IF($M72="","",IF(AND($M72&gt;0,$N72&gt;0),"PASS","FAIL"))</f>
        <v/>
      </c>
      <c r="T72" s="20"/>
      <c r="U72" s="20"/>
      <c r="V72" s="21"/>
      <c r="W72" s="5"/>
      <c r="X72" s="5"/>
      <c r="Y72" s="5"/>
      <c r="Z72" s="5"/>
      <c r="AA72" s="5"/>
      <c r="AB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18"/>
      <c r="K73" s="5"/>
      <c r="L73" s="5"/>
      <c r="M73" s="19"/>
      <c r="N73" s="19"/>
      <c r="O73" s="5"/>
      <c r="P73" s="5"/>
      <c r="Q73" s="5"/>
      <c r="R73" s="19"/>
      <c r="S73" s="7" t="str">
        <f aca="false">IF($M73="","",IF(AND($M73&gt;0,$N73&gt;0),"PASS","FAIL"))</f>
        <v/>
      </c>
      <c r="T73" s="20"/>
      <c r="U73" s="20"/>
      <c r="V73" s="21"/>
      <c r="W73" s="5"/>
      <c r="X73" s="5"/>
      <c r="Y73" s="5"/>
      <c r="Z73" s="5"/>
      <c r="AA73" s="5"/>
      <c r="AB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18"/>
      <c r="K74" s="5"/>
      <c r="L74" s="5"/>
      <c r="M74" s="19"/>
      <c r="N74" s="19"/>
      <c r="O74" s="5"/>
      <c r="P74" s="5"/>
      <c r="Q74" s="5"/>
      <c r="R74" s="19"/>
      <c r="S74" s="7" t="str">
        <f aca="false">IF($M74="","",IF(AND($M74&gt;0,$N74&gt;0),"PASS","FAIL"))</f>
        <v/>
      </c>
      <c r="T74" s="20"/>
      <c r="U74" s="20"/>
      <c r="V74" s="21"/>
      <c r="W74" s="5"/>
      <c r="X74" s="5"/>
      <c r="Y74" s="5"/>
      <c r="Z74" s="5"/>
      <c r="AA74" s="5"/>
      <c r="AB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18"/>
      <c r="K75" s="5"/>
      <c r="L75" s="5"/>
      <c r="M75" s="19"/>
      <c r="N75" s="19"/>
      <c r="O75" s="5"/>
      <c r="P75" s="5"/>
      <c r="Q75" s="5"/>
      <c r="R75" s="19"/>
      <c r="S75" s="7" t="str">
        <f aca="false">IF($M75="","",IF(AND($M75&gt;0,$N75&gt;0),"PASS","FAIL"))</f>
        <v/>
      </c>
      <c r="T75" s="20"/>
      <c r="U75" s="20"/>
      <c r="V75" s="21"/>
      <c r="W75" s="5"/>
      <c r="X75" s="5"/>
      <c r="Y75" s="5"/>
      <c r="Z75" s="5"/>
      <c r="AA75" s="5"/>
      <c r="AB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18"/>
      <c r="K76" s="5"/>
      <c r="L76" s="5"/>
      <c r="M76" s="19"/>
      <c r="N76" s="19"/>
      <c r="O76" s="5"/>
      <c r="P76" s="5"/>
      <c r="Q76" s="5"/>
      <c r="R76" s="19"/>
      <c r="S76" s="7" t="str">
        <f aca="false">IF($M76="","",IF(AND($M76&gt;0,$N76&gt;0),"PASS","FAIL"))</f>
        <v/>
      </c>
      <c r="T76" s="20"/>
      <c r="U76" s="20"/>
      <c r="V76" s="21"/>
      <c r="W76" s="5"/>
      <c r="X76" s="5"/>
      <c r="Y76" s="5"/>
      <c r="Z76" s="5"/>
      <c r="AA76" s="5"/>
      <c r="AB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18"/>
      <c r="K77" s="5"/>
      <c r="L77" s="5"/>
      <c r="M77" s="19"/>
      <c r="N77" s="19"/>
      <c r="O77" s="5"/>
      <c r="P77" s="5"/>
      <c r="Q77" s="5"/>
      <c r="R77" s="19"/>
      <c r="S77" s="7" t="str">
        <f aca="false">IF($M77="","",IF(AND($M77&gt;0,$N77&gt;0),"PASS","FAIL"))</f>
        <v/>
      </c>
      <c r="T77" s="20"/>
      <c r="U77" s="20"/>
      <c r="V77" s="21"/>
      <c r="W77" s="5"/>
      <c r="X77" s="5"/>
      <c r="Y77" s="5"/>
      <c r="Z77" s="5"/>
      <c r="AA77" s="5"/>
      <c r="AB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18"/>
      <c r="K78" s="5"/>
      <c r="L78" s="5"/>
      <c r="M78" s="19"/>
      <c r="N78" s="19"/>
      <c r="O78" s="5"/>
      <c r="P78" s="5"/>
      <c r="Q78" s="5"/>
      <c r="R78" s="19"/>
      <c r="S78" s="7" t="str">
        <f aca="false">IF($M78="","",IF(AND($M78&gt;0,$N78&gt;0),"PASS","FAIL"))</f>
        <v/>
      </c>
      <c r="T78" s="20"/>
      <c r="U78" s="20"/>
      <c r="V78" s="21"/>
      <c r="W78" s="5"/>
      <c r="X78" s="5"/>
      <c r="Y78" s="5"/>
      <c r="Z78" s="5"/>
      <c r="AA78" s="5"/>
      <c r="AB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18"/>
      <c r="K79" s="5"/>
      <c r="L79" s="5"/>
      <c r="M79" s="19"/>
      <c r="N79" s="19"/>
      <c r="O79" s="5"/>
      <c r="P79" s="5"/>
      <c r="Q79" s="5"/>
      <c r="R79" s="19"/>
      <c r="S79" s="7" t="str">
        <f aca="false">IF($M79="","",IF(AND($M79&gt;0,$N79&gt;0),"PASS","FAIL"))</f>
        <v/>
      </c>
      <c r="T79" s="20"/>
      <c r="U79" s="20"/>
      <c r="V79" s="21"/>
      <c r="W79" s="5"/>
      <c r="X79" s="5"/>
      <c r="Y79" s="5"/>
      <c r="Z79" s="5"/>
      <c r="AA79" s="5"/>
      <c r="AB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18"/>
      <c r="K80" s="5"/>
      <c r="L80" s="5"/>
      <c r="M80" s="19"/>
      <c r="N80" s="19"/>
      <c r="O80" s="5"/>
      <c r="P80" s="5"/>
      <c r="Q80" s="5"/>
      <c r="R80" s="19"/>
      <c r="S80" s="7" t="str">
        <f aca="false">IF($M80="","",IF(AND($M80&gt;0,$N80&gt;0),"PASS","FAIL"))</f>
        <v/>
      </c>
      <c r="T80" s="20"/>
      <c r="U80" s="20"/>
      <c r="V80" s="21"/>
      <c r="W80" s="5"/>
      <c r="X80" s="5"/>
      <c r="Y80" s="5"/>
      <c r="Z80" s="5"/>
      <c r="AA80" s="5"/>
      <c r="AB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18"/>
      <c r="K81" s="5"/>
      <c r="L81" s="5"/>
      <c r="M81" s="19"/>
      <c r="N81" s="19"/>
      <c r="O81" s="5"/>
      <c r="P81" s="5"/>
      <c r="Q81" s="5"/>
      <c r="R81" s="19"/>
      <c r="S81" s="7" t="str">
        <f aca="false">IF($M81="","",IF(AND($M81&gt;0,$N81&gt;0),"PASS","FAIL"))</f>
        <v/>
      </c>
      <c r="T81" s="20"/>
      <c r="U81" s="20"/>
      <c r="V81" s="21"/>
      <c r="W81" s="5"/>
      <c r="X81" s="5"/>
      <c r="Y81" s="5"/>
      <c r="Z81" s="5"/>
      <c r="AA81" s="5"/>
      <c r="AB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18"/>
      <c r="K82" s="5"/>
      <c r="L82" s="5"/>
      <c r="M82" s="19"/>
      <c r="N82" s="19"/>
      <c r="O82" s="5"/>
      <c r="P82" s="5"/>
      <c r="Q82" s="5"/>
      <c r="R82" s="19"/>
      <c r="S82" s="7" t="str">
        <f aca="false">IF($M82="","",IF(AND($M82&gt;0,$N82&gt;0),"PASS","FAIL"))</f>
        <v/>
      </c>
      <c r="T82" s="20"/>
      <c r="U82" s="20"/>
      <c r="V82" s="21"/>
      <c r="W82" s="5"/>
      <c r="X82" s="5"/>
      <c r="Y82" s="5"/>
      <c r="Z82" s="5"/>
      <c r="AA82" s="5"/>
      <c r="AB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18"/>
      <c r="K83" s="5"/>
      <c r="L83" s="5"/>
      <c r="M83" s="19"/>
      <c r="N83" s="19"/>
      <c r="O83" s="5"/>
      <c r="P83" s="5"/>
      <c r="Q83" s="5"/>
      <c r="R83" s="19"/>
      <c r="S83" s="7" t="str">
        <f aca="false">IF($M83="","",IF(AND($M83&gt;0,$N83&gt;0),"PASS","FAIL"))</f>
        <v/>
      </c>
      <c r="T83" s="20"/>
      <c r="U83" s="20"/>
      <c r="V83" s="21"/>
      <c r="W83" s="5"/>
      <c r="X83" s="5"/>
      <c r="Y83" s="5"/>
      <c r="Z83" s="5"/>
      <c r="AA83" s="5"/>
      <c r="AB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18"/>
      <c r="K84" s="5"/>
      <c r="L84" s="5"/>
      <c r="M84" s="19"/>
      <c r="N84" s="19"/>
      <c r="O84" s="5"/>
      <c r="P84" s="5"/>
      <c r="Q84" s="5"/>
      <c r="R84" s="19"/>
      <c r="S84" s="7" t="str">
        <f aca="false">IF($M84="","",IF(AND($M84&gt;0,$N84&gt;0),"PASS","FAIL"))</f>
        <v/>
      </c>
      <c r="T84" s="20"/>
      <c r="U84" s="20"/>
      <c r="V84" s="21"/>
      <c r="W84" s="5"/>
      <c r="X84" s="5"/>
      <c r="Y84" s="5"/>
      <c r="Z84" s="5"/>
      <c r="AA84" s="5"/>
      <c r="AB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18"/>
      <c r="K85" s="5"/>
      <c r="L85" s="5"/>
      <c r="M85" s="19"/>
      <c r="N85" s="19"/>
      <c r="O85" s="5"/>
      <c r="P85" s="5"/>
      <c r="Q85" s="5"/>
      <c r="R85" s="19"/>
      <c r="S85" s="7" t="str">
        <f aca="false">IF($M85="","",IF(AND($M85&gt;0,$N85&gt;0),"PASS","FAIL"))</f>
        <v/>
      </c>
      <c r="T85" s="20"/>
      <c r="U85" s="20"/>
      <c r="V85" s="21"/>
      <c r="W85" s="5"/>
      <c r="X85" s="5"/>
      <c r="Y85" s="5"/>
      <c r="Z85" s="5"/>
      <c r="AA85" s="5"/>
      <c r="AB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18"/>
      <c r="K86" s="5"/>
      <c r="L86" s="5"/>
      <c r="M86" s="19"/>
      <c r="N86" s="19"/>
      <c r="O86" s="5"/>
      <c r="P86" s="5"/>
      <c r="Q86" s="5"/>
      <c r="R86" s="19"/>
      <c r="S86" s="7" t="str">
        <f aca="false">IF($M86="","",IF(AND($M86&gt;0,$N86&gt;0),"PASS","FAIL"))</f>
        <v/>
      </c>
      <c r="T86" s="20"/>
      <c r="U86" s="20"/>
      <c r="V86" s="21"/>
      <c r="W86" s="5"/>
      <c r="X86" s="5"/>
      <c r="Y86" s="5"/>
      <c r="Z86" s="5"/>
      <c r="AA86" s="5"/>
      <c r="AB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18"/>
      <c r="K87" s="5"/>
      <c r="L87" s="5"/>
      <c r="M87" s="19"/>
      <c r="N87" s="19"/>
      <c r="O87" s="5"/>
      <c r="P87" s="5"/>
      <c r="Q87" s="5"/>
      <c r="R87" s="19"/>
      <c r="S87" s="7" t="str">
        <f aca="false">IF($M87="","",IF(AND($M87&gt;0,$N87&gt;0),"PASS","FAIL"))</f>
        <v/>
      </c>
      <c r="T87" s="20"/>
      <c r="U87" s="20"/>
      <c r="V87" s="21"/>
      <c r="W87" s="5"/>
      <c r="X87" s="5"/>
      <c r="Y87" s="5"/>
      <c r="Z87" s="5"/>
      <c r="AA87" s="5"/>
      <c r="AB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18"/>
      <c r="K88" s="5"/>
      <c r="L88" s="5"/>
      <c r="M88" s="19"/>
      <c r="N88" s="19"/>
      <c r="O88" s="5"/>
      <c r="P88" s="5"/>
      <c r="Q88" s="5"/>
      <c r="R88" s="19"/>
      <c r="S88" s="7" t="str">
        <f aca="false">IF($M88="","",IF(AND($M88&gt;0,$N88&gt;0),"PASS","FAIL"))</f>
        <v/>
      </c>
      <c r="T88" s="20"/>
      <c r="U88" s="20"/>
      <c r="V88" s="21"/>
      <c r="W88" s="5"/>
      <c r="X88" s="5"/>
      <c r="Y88" s="5"/>
      <c r="Z88" s="5"/>
      <c r="AA88" s="5"/>
      <c r="AB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18"/>
      <c r="K89" s="5"/>
      <c r="L89" s="5"/>
      <c r="M89" s="19"/>
      <c r="N89" s="19"/>
      <c r="O89" s="5"/>
      <c r="P89" s="5"/>
      <c r="Q89" s="5"/>
      <c r="R89" s="19"/>
      <c r="S89" s="7" t="str">
        <f aca="false">IF($M89="","",IF(AND($M89&gt;0,$N89&gt;0),"PASS","FAIL"))</f>
        <v/>
      </c>
      <c r="T89" s="20"/>
      <c r="U89" s="20"/>
      <c r="V89" s="21"/>
      <c r="W89" s="5"/>
      <c r="X89" s="5"/>
      <c r="Y89" s="5"/>
      <c r="Z89" s="5"/>
      <c r="AA89" s="5"/>
      <c r="AB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18"/>
      <c r="K90" s="5"/>
      <c r="L90" s="5"/>
      <c r="M90" s="19"/>
      <c r="N90" s="19"/>
      <c r="O90" s="5"/>
      <c r="P90" s="5"/>
      <c r="Q90" s="5"/>
      <c r="R90" s="19"/>
      <c r="S90" s="7" t="str">
        <f aca="false">IF($M90="","",IF(AND($M90&gt;0,$N90&gt;0),"PASS","FAIL"))</f>
        <v/>
      </c>
      <c r="T90" s="20"/>
      <c r="U90" s="20"/>
      <c r="V90" s="21"/>
      <c r="W90" s="5"/>
      <c r="X90" s="5"/>
      <c r="Y90" s="5"/>
      <c r="Z90" s="5"/>
      <c r="AA90" s="5"/>
      <c r="AB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18"/>
      <c r="K91" s="5"/>
      <c r="L91" s="5"/>
      <c r="M91" s="19"/>
      <c r="N91" s="19"/>
      <c r="O91" s="5"/>
      <c r="P91" s="5"/>
      <c r="Q91" s="5"/>
      <c r="R91" s="19"/>
      <c r="S91" s="7" t="str">
        <f aca="false">IF($M91="","",IF(AND($M91&gt;0,$N91&gt;0),"PASS","FAIL"))</f>
        <v/>
      </c>
      <c r="T91" s="20"/>
      <c r="U91" s="20"/>
      <c r="V91" s="21"/>
      <c r="W91" s="5"/>
      <c r="X91" s="5"/>
      <c r="Y91" s="5"/>
      <c r="Z91" s="5"/>
      <c r="AA91" s="5"/>
      <c r="AB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18"/>
      <c r="K92" s="5"/>
      <c r="L92" s="5"/>
      <c r="M92" s="19"/>
      <c r="N92" s="19"/>
      <c r="O92" s="5"/>
      <c r="P92" s="5"/>
      <c r="Q92" s="5"/>
      <c r="R92" s="19"/>
      <c r="S92" s="7" t="str">
        <f aca="false">IF($M92="","",IF(AND($M92&gt;0,$N92&gt;0),"PASS","FAIL"))</f>
        <v/>
      </c>
      <c r="T92" s="20"/>
      <c r="U92" s="20"/>
      <c r="V92" s="21"/>
      <c r="W92" s="5"/>
      <c r="X92" s="5"/>
      <c r="Y92" s="5"/>
      <c r="Z92" s="5"/>
      <c r="AA92" s="5"/>
      <c r="AB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18"/>
      <c r="K93" s="5"/>
      <c r="L93" s="5"/>
      <c r="M93" s="19"/>
      <c r="N93" s="19"/>
      <c r="O93" s="5"/>
      <c r="P93" s="5"/>
      <c r="Q93" s="5"/>
      <c r="R93" s="19"/>
      <c r="S93" s="7" t="str">
        <f aca="false">IF($M93="","",IF(AND($M93&gt;0,$N93&gt;0),"PASS","FAIL"))</f>
        <v/>
      </c>
      <c r="T93" s="20"/>
      <c r="U93" s="20"/>
      <c r="V93" s="21"/>
      <c r="W93" s="5"/>
      <c r="X93" s="5"/>
      <c r="Y93" s="5"/>
      <c r="Z93" s="5"/>
      <c r="AA93" s="5"/>
      <c r="AB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18"/>
      <c r="K94" s="5"/>
      <c r="L94" s="5"/>
      <c r="M94" s="19"/>
      <c r="N94" s="19"/>
      <c r="O94" s="5"/>
      <c r="P94" s="5"/>
      <c r="Q94" s="5"/>
      <c r="R94" s="19"/>
      <c r="S94" s="7" t="str">
        <f aca="false">IF($M94="","",IF(AND($M94&gt;0,$N94&gt;0),"PASS","FAIL"))</f>
        <v/>
      </c>
      <c r="T94" s="20"/>
      <c r="U94" s="20"/>
      <c r="V94" s="21"/>
      <c r="W94" s="5"/>
      <c r="X94" s="5"/>
      <c r="Y94" s="5"/>
      <c r="Z94" s="5"/>
      <c r="AA94" s="5"/>
      <c r="AB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18"/>
      <c r="K95" s="5"/>
      <c r="L95" s="5"/>
      <c r="M95" s="19"/>
      <c r="N95" s="19"/>
      <c r="O95" s="5"/>
      <c r="P95" s="5"/>
      <c r="Q95" s="5"/>
      <c r="R95" s="19"/>
      <c r="S95" s="7" t="str">
        <f aca="false">IF($M95="","",IF(AND($M95&gt;0,$N95&gt;0),"PASS","FAIL"))</f>
        <v/>
      </c>
      <c r="T95" s="20"/>
      <c r="U95" s="20"/>
      <c r="V95" s="21"/>
      <c r="W95" s="5"/>
      <c r="X95" s="5"/>
      <c r="Y95" s="5"/>
      <c r="Z95" s="5"/>
      <c r="AA95" s="5"/>
      <c r="AB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18"/>
      <c r="K96" s="5"/>
      <c r="L96" s="5"/>
      <c r="M96" s="19"/>
      <c r="N96" s="19"/>
      <c r="O96" s="5"/>
      <c r="P96" s="5"/>
      <c r="Q96" s="5"/>
      <c r="R96" s="19"/>
      <c r="S96" s="7" t="str">
        <f aca="false">IF($M96="","",IF(AND($M96&gt;0,$N96&gt;0),"PASS","FAIL"))</f>
        <v/>
      </c>
      <c r="T96" s="20"/>
      <c r="U96" s="20"/>
      <c r="V96" s="21"/>
      <c r="W96" s="5"/>
      <c r="X96" s="5"/>
      <c r="Y96" s="5"/>
      <c r="Z96" s="5"/>
      <c r="AA96" s="5"/>
      <c r="AB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18"/>
      <c r="K97" s="5"/>
      <c r="L97" s="5"/>
      <c r="M97" s="19"/>
      <c r="N97" s="19"/>
      <c r="O97" s="5"/>
      <c r="P97" s="5"/>
      <c r="Q97" s="5"/>
      <c r="R97" s="19"/>
      <c r="S97" s="7" t="str">
        <f aca="false">IF($M97="","",IF(AND($M97&gt;0,$N97&gt;0),"PASS","FAIL"))</f>
        <v/>
      </c>
      <c r="T97" s="20"/>
      <c r="U97" s="20"/>
      <c r="V97" s="21"/>
      <c r="W97" s="5"/>
      <c r="X97" s="5"/>
      <c r="Y97" s="5"/>
      <c r="Z97" s="5"/>
      <c r="AA97" s="5"/>
      <c r="AB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18"/>
      <c r="K98" s="5"/>
      <c r="L98" s="5"/>
      <c r="M98" s="19"/>
      <c r="N98" s="19"/>
      <c r="O98" s="5"/>
      <c r="P98" s="5"/>
      <c r="Q98" s="5"/>
      <c r="R98" s="19"/>
      <c r="S98" s="7" t="str">
        <f aca="false">IF($M98="","",IF(AND($M98&gt;0,$N98&gt;0),"PASS","FAIL"))</f>
        <v/>
      </c>
      <c r="T98" s="20"/>
      <c r="U98" s="20"/>
      <c r="V98" s="21"/>
      <c r="W98" s="5"/>
      <c r="X98" s="5"/>
      <c r="Y98" s="5"/>
      <c r="Z98" s="5"/>
      <c r="AA98" s="5"/>
      <c r="AB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18"/>
      <c r="K99" s="5"/>
      <c r="L99" s="5"/>
      <c r="M99" s="19"/>
      <c r="N99" s="19"/>
      <c r="O99" s="5"/>
      <c r="P99" s="5"/>
      <c r="Q99" s="5"/>
      <c r="R99" s="19"/>
      <c r="S99" s="7" t="str">
        <f aca="false">IF($M99="","",IF(AND($M99&gt;0,$N99&gt;0),"PASS","FAIL"))</f>
        <v/>
      </c>
      <c r="T99" s="20"/>
      <c r="U99" s="20"/>
      <c r="V99" s="21"/>
      <c r="W99" s="5"/>
      <c r="X99" s="5"/>
      <c r="Y99" s="5"/>
      <c r="Z99" s="5"/>
      <c r="AA99" s="5"/>
      <c r="AB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18"/>
      <c r="K100" s="5"/>
      <c r="L100" s="5"/>
      <c r="M100" s="19"/>
      <c r="N100" s="19"/>
      <c r="O100" s="5"/>
      <c r="P100" s="5"/>
      <c r="Q100" s="5"/>
      <c r="R100" s="19"/>
      <c r="S100" s="7" t="str">
        <f aca="false">IF($M100="","",IF(AND($M100&gt;0,$N100&gt;0),"PASS","FAIL"))</f>
        <v/>
      </c>
      <c r="T100" s="20"/>
      <c r="U100" s="20"/>
      <c r="V100" s="21"/>
      <c r="W100" s="5"/>
      <c r="X100" s="5"/>
      <c r="Y100" s="5"/>
      <c r="Z100" s="5"/>
      <c r="AA100" s="5"/>
      <c r="AB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18"/>
      <c r="K101" s="5"/>
      <c r="L101" s="5"/>
      <c r="M101" s="19"/>
      <c r="N101" s="19"/>
      <c r="O101" s="5"/>
      <c r="P101" s="5"/>
      <c r="Q101" s="5"/>
      <c r="R101" s="19"/>
      <c r="S101" s="7" t="str">
        <f aca="false">IF($M101="","",IF(AND($M101&gt;0,$N101&gt;0),"PASS","FAIL"))</f>
        <v/>
      </c>
      <c r="T101" s="20"/>
      <c r="U101" s="20"/>
      <c r="V101" s="21"/>
      <c r="W101" s="5"/>
      <c r="X101" s="5"/>
      <c r="Y101" s="5"/>
      <c r="Z101" s="5"/>
      <c r="AA101" s="5"/>
      <c r="AB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18"/>
      <c r="K102" s="5"/>
      <c r="L102" s="5"/>
      <c r="M102" s="19"/>
      <c r="N102" s="19"/>
      <c r="O102" s="5"/>
      <c r="P102" s="5"/>
      <c r="Q102" s="5"/>
      <c r="R102" s="19"/>
      <c r="S102" s="7" t="str">
        <f aca="false">IF($M102="","",IF(AND($M102&gt;0,$N102&gt;0),"PASS","FAIL"))</f>
        <v/>
      </c>
      <c r="T102" s="20"/>
      <c r="U102" s="20"/>
      <c r="V102" s="21"/>
      <c r="W102" s="5"/>
      <c r="X102" s="5"/>
      <c r="Y102" s="5"/>
      <c r="Z102" s="5"/>
      <c r="AA102" s="5"/>
      <c r="AB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18"/>
      <c r="K103" s="5"/>
      <c r="L103" s="5"/>
      <c r="M103" s="19"/>
      <c r="N103" s="19"/>
      <c r="O103" s="5"/>
      <c r="P103" s="5"/>
      <c r="Q103" s="5"/>
      <c r="R103" s="19"/>
      <c r="S103" s="7" t="str">
        <f aca="false">IF($M103="","",IF(AND($M103&gt;0,$N103&gt;0),"PASS","FAIL"))</f>
        <v/>
      </c>
      <c r="T103" s="20"/>
      <c r="U103" s="20"/>
      <c r="V103" s="21"/>
      <c r="W103" s="5"/>
      <c r="X103" s="5"/>
      <c r="Y103" s="5"/>
      <c r="Z103" s="5"/>
      <c r="AA103" s="5"/>
      <c r="AB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18"/>
      <c r="K104" s="5"/>
      <c r="L104" s="5"/>
      <c r="M104" s="19"/>
      <c r="N104" s="19"/>
      <c r="O104" s="5"/>
      <c r="P104" s="5"/>
      <c r="Q104" s="5"/>
      <c r="R104" s="19"/>
      <c r="S104" s="7" t="str">
        <f aca="false">IF($M104="","",IF(AND($M104&gt;0,$N104&gt;0),"PASS","FAIL"))</f>
        <v/>
      </c>
      <c r="T104" s="20"/>
      <c r="U104" s="20"/>
      <c r="V104" s="21"/>
      <c r="W104" s="5"/>
      <c r="X104" s="5"/>
      <c r="Y104" s="5"/>
      <c r="Z104" s="5"/>
      <c r="AA104" s="5"/>
      <c r="AB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18"/>
      <c r="K105" s="5"/>
      <c r="L105" s="5"/>
      <c r="M105" s="19"/>
      <c r="N105" s="19"/>
      <c r="O105" s="5"/>
      <c r="P105" s="5"/>
      <c r="Q105" s="5"/>
      <c r="R105" s="19"/>
      <c r="S105" s="7" t="str">
        <f aca="false">IF($M105="","",IF(AND($M105&gt;0,$N105&gt;0),"PASS","FAIL"))</f>
        <v/>
      </c>
      <c r="T105" s="20"/>
      <c r="U105" s="20"/>
      <c r="V105" s="21"/>
      <c r="W105" s="5"/>
      <c r="X105" s="5"/>
      <c r="Y105" s="5"/>
      <c r="Z105" s="5"/>
      <c r="AA105" s="5"/>
      <c r="AB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18"/>
      <c r="K106" s="5"/>
      <c r="L106" s="5"/>
      <c r="M106" s="19"/>
      <c r="N106" s="19"/>
      <c r="O106" s="5"/>
      <c r="P106" s="5"/>
      <c r="Q106" s="5"/>
      <c r="R106" s="19"/>
      <c r="S106" s="7" t="str">
        <f aca="false">IF($M106="","",IF(AND($M106&gt;0,$N106&gt;0),"PASS","FAIL"))</f>
        <v/>
      </c>
      <c r="T106" s="20"/>
      <c r="U106" s="20"/>
      <c r="V106" s="21"/>
      <c r="W106" s="5"/>
      <c r="X106" s="5"/>
      <c r="Y106" s="5"/>
      <c r="Z106" s="5"/>
      <c r="AA106" s="5"/>
      <c r="AB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18"/>
      <c r="K107" s="5"/>
      <c r="L107" s="5"/>
      <c r="M107" s="19"/>
      <c r="N107" s="19"/>
      <c r="O107" s="5"/>
      <c r="P107" s="5"/>
      <c r="Q107" s="5"/>
      <c r="R107" s="19"/>
      <c r="S107" s="7" t="str">
        <f aca="false">IF($M107="","",IF(AND($M107&gt;0,$N107&gt;0),"PASS","FAIL"))</f>
        <v/>
      </c>
      <c r="T107" s="20"/>
      <c r="U107" s="20"/>
      <c r="V107" s="21"/>
      <c r="W107" s="5"/>
      <c r="X107" s="5"/>
      <c r="Y107" s="5"/>
      <c r="Z107" s="5"/>
      <c r="AA107" s="5"/>
      <c r="AB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18"/>
      <c r="K108" s="5"/>
      <c r="L108" s="5"/>
      <c r="M108" s="19"/>
      <c r="N108" s="19"/>
      <c r="O108" s="5"/>
      <c r="P108" s="5"/>
      <c r="Q108" s="5"/>
      <c r="R108" s="19"/>
      <c r="S108" s="7" t="str">
        <f aca="false">IF($M108="","",IF(AND($M108&gt;0,$N108&gt;0),"PASS","FAIL"))</f>
        <v/>
      </c>
      <c r="T108" s="20"/>
      <c r="U108" s="20"/>
      <c r="V108" s="21"/>
      <c r="W108" s="5"/>
      <c r="X108" s="5"/>
      <c r="Y108" s="5"/>
      <c r="Z108" s="5"/>
      <c r="AA108" s="5"/>
      <c r="AB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18"/>
      <c r="K109" s="5"/>
      <c r="L109" s="5"/>
      <c r="M109" s="19"/>
      <c r="N109" s="19"/>
      <c r="O109" s="5"/>
      <c r="P109" s="5"/>
      <c r="Q109" s="5"/>
      <c r="R109" s="19"/>
      <c r="S109" s="7" t="str">
        <f aca="false">IF($M109="","",IF(AND($M109&gt;0,$N109&gt;0),"PASS","FAIL"))</f>
        <v/>
      </c>
      <c r="T109" s="20"/>
      <c r="U109" s="20"/>
      <c r="V109" s="21"/>
      <c r="W109" s="5"/>
      <c r="X109" s="5"/>
      <c r="Y109" s="5"/>
      <c r="Z109" s="5"/>
      <c r="AA109" s="5"/>
      <c r="AB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18"/>
      <c r="K110" s="5"/>
      <c r="L110" s="5"/>
      <c r="M110" s="19"/>
      <c r="N110" s="19"/>
      <c r="O110" s="5"/>
      <c r="P110" s="5"/>
      <c r="Q110" s="5"/>
      <c r="R110" s="19"/>
      <c r="S110" s="7" t="str">
        <f aca="false">IF($M110="","",IF(AND($M110&gt;0,$N110&gt;0),"PASS","FAIL"))</f>
        <v/>
      </c>
      <c r="T110" s="20"/>
      <c r="U110" s="20"/>
      <c r="V110" s="21"/>
      <c r="W110" s="5"/>
      <c r="X110" s="5"/>
      <c r="Y110" s="5"/>
      <c r="Z110" s="5"/>
      <c r="AA110" s="5"/>
      <c r="AB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18"/>
      <c r="K111" s="5"/>
      <c r="L111" s="5"/>
      <c r="M111" s="19"/>
      <c r="N111" s="19"/>
      <c r="O111" s="5"/>
      <c r="P111" s="5"/>
      <c r="Q111" s="5"/>
      <c r="R111" s="19"/>
      <c r="S111" s="7" t="str">
        <f aca="false">IF($M111="","",IF(AND($M111&gt;0,$N111&gt;0),"PASS","FAIL"))</f>
        <v/>
      </c>
      <c r="T111" s="20"/>
      <c r="U111" s="20"/>
      <c r="V111" s="21"/>
      <c r="W111" s="5"/>
      <c r="X111" s="5"/>
      <c r="Y111" s="5"/>
      <c r="Z111" s="5"/>
      <c r="AA111" s="5"/>
      <c r="AB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18"/>
      <c r="K112" s="5"/>
      <c r="L112" s="5"/>
      <c r="M112" s="19"/>
      <c r="N112" s="19"/>
      <c r="O112" s="5"/>
      <c r="P112" s="5"/>
      <c r="Q112" s="5"/>
      <c r="R112" s="19"/>
      <c r="S112" s="7" t="str">
        <f aca="false">IF($M112="","",IF(AND($M112&gt;0,$N112&gt;0),"PASS","FAIL"))</f>
        <v/>
      </c>
      <c r="T112" s="20"/>
      <c r="U112" s="20"/>
      <c r="V112" s="21"/>
      <c r="W112" s="5"/>
      <c r="X112" s="5"/>
      <c r="Y112" s="5"/>
      <c r="Z112" s="5"/>
      <c r="AA112" s="5"/>
      <c r="AB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18"/>
      <c r="K113" s="5"/>
      <c r="L113" s="5"/>
      <c r="M113" s="19"/>
      <c r="N113" s="19"/>
      <c r="O113" s="5"/>
      <c r="P113" s="5"/>
      <c r="Q113" s="5"/>
      <c r="R113" s="19"/>
      <c r="S113" s="7" t="str">
        <f aca="false">IF($M113="","",IF(AND($M113&gt;0,$N113&gt;0),"PASS","FAIL"))</f>
        <v/>
      </c>
      <c r="T113" s="20"/>
      <c r="U113" s="20"/>
      <c r="V113" s="21"/>
      <c r="W113" s="5"/>
      <c r="X113" s="5"/>
      <c r="Y113" s="5"/>
      <c r="Z113" s="5"/>
      <c r="AA113" s="5"/>
      <c r="AB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18"/>
      <c r="K114" s="5"/>
      <c r="L114" s="5"/>
      <c r="M114" s="19"/>
      <c r="N114" s="19"/>
      <c r="O114" s="5"/>
      <c r="P114" s="5"/>
      <c r="Q114" s="5"/>
      <c r="R114" s="19"/>
      <c r="S114" s="7" t="str">
        <f aca="false">IF($M114="","",IF(AND($M114&gt;0,$N114&gt;0),"PASS","FAIL"))</f>
        <v/>
      </c>
      <c r="T114" s="20"/>
      <c r="U114" s="20"/>
      <c r="V114" s="21"/>
      <c r="W114" s="5"/>
      <c r="X114" s="5"/>
      <c r="Y114" s="5"/>
      <c r="Z114" s="5"/>
      <c r="AA114" s="5"/>
      <c r="AB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18"/>
      <c r="K115" s="5"/>
      <c r="L115" s="5"/>
      <c r="M115" s="19"/>
      <c r="N115" s="19"/>
      <c r="O115" s="5"/>
      <c r="P115" s="5"/>
      <c r="Q115" s="5"/>
      <c r="R115" s="19"/>
      <c r="S115" s="7" t="str">
        <f aca="false">IF($M115="","",IF(AND($M115&gt;0,$N115&gt;0),"PASS","FAIL"))</f>
        <v/>
      </c>
      <c r="T115" s="20"/>
      <c r="U115" s="20"/>
      <c r="V115" s="21"/>
      <c r="W115" s="5"/>
      <c r="X115" s="5"/>
      <c r="Y115" s="5"/>
      <c r="Z115" s="5"/>
      <c r="AA115" s="5"/>
      <c r="AB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18"/>
      <c r="K116" s="5"/>
      <c r="L116" s="5"/>
      <c r="M116" s="19"/>
      <c r="N116" s="19"/>
      <c r="O116" s="5"/>
      <c r="P116" s="5"/>
      <c r="Q116" s="5"/>
      <c r="R116" s="19"/>
      <c r="S116" s="7" t="str">
        <f aca="false">IF($M116="","",IF(AND($M116&gt;0,$N116&gt;0),"PASS","FAIL"))</f>
        <v/>
      </c>
      <c r="T116" s="20"/>
      <c r="U116" s="20"/>
      <c r="V116" s="21"/>
      <c r="W116" s="5"/>
      <c r="X116" s="5"/>
      <c r="Y116" s="5"/>
      <c r="Z116" s="5"/>
      <c r="AA116" s="5"/>
      <c r="AB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18"/>
      <c r="K117" s="5"/>
      <c r="L117" s="5"/>
      <c r="M117" s="19"/>
      <c r="N117" s="19"/>
      <c r="O117" s="5"/>
      <c r="P117" s="5"/>
      <c r="Q117" s="5"/>
      <c r="R117" s="19"/>
      <c r="S117" s="7" t="str">
        <f aca="false">IF($M117="","",IF(AND($M117&gt;0,$N117&gt;0),"PASS","FAIL"))</f>
        <v/>
      </c>
      <c r="T117" s="20"/>
      <c r="U117" s="20"/>
      <c r="V117" s="21"/>
      <c r="W117" s="5"/>
      <c r="X117" s="5"/>
      <c r="Y117" s="5"/>
      <c r="Z117" s="5"/>
      <c r="AA117" s="5"/>
      <c r="AB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18"/>
      <c r="K118" s="5"/>
      <c r="L118" s="5"/>
      <c r="M118" s="19"/>
      <c r="N118" s="19"/>
      <c r="O118" s="5"/>
      <c r="P118" s="5"/>
      <c r="Q118" s="5"/>
      <c r="R118" s="19"/>
      <c r="S118" s="7" t="str">
        <f aca="false">IF($M118="","",IF(AND($M118&gt;0,$N118&gt;0),"PASS","FAIL"))</f>
        <v/>
      </c>
      <c r="T118" s="20"/>
      <c r="U118" s="20"/>
      <c r="V118" s="21"/>
      <c r="W118" s="5"/>
      <c r="X118" s="5"/>
      <c r="Y118" s="5"/>
      <c r="Z118" s="5"/>
      <c r="AA118" s="5"/>
      <c r="AB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18"/>
      <c r="K119" s="5"/>
      <c r="L119" s="5"/>
      <c r="M119" s="19"/>
      <c r="N119" s="19"/>
      <c r="O119" s="5"/>
      <c r="P119" s="5"/>
      <c r="Q119" s="5"/>
      <c r="R119" s="19"/>
      <c r="S119" s="7" t="str">
        <f aca="false">IF($M119="","",IF(AND($M119&gt;0,$N119&gt;0),"PASS","FAIL"))</f>
        <v/>
      </c>
      <c r="T119" s="20"/>
      <c r="U119" s="20"/>
      <c r="V119" s="21"/>
      <c r="W119" s="5"/>
      <c r="X119" s="5"/>
      <c r="Y119" s="5"/>
      <c r="Z119" s="5"/>
      <c r="AA119" s="5"/>
      <c r="AB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18"/>
      <c r="K120" s="5"/>
      <c r="L120" s="5"/>
      <c r="M120" s="19"/>
      <c r="N120" s="19"/>
      <c r="O120" s="5"/>
      <c r="P120" s="5"/>
      <c r="Q120" s="5"/>
      <c r="R120" s="19"/>
      <c r="S120" s="7" t="str">
        <f aca="false">IF($M120="","",IF(AND($M120&gt;0,$N120&gt;0),"PASS","FAIL"))</f>
        <v/>
      </c>
      <c r="T120" s="20"/>
      <c r="U120" s="20"/>
      <c r="V120" s="21"/>
      <c r="W120" s="5"/>
      <c r="X120" s="5"/>
      <c r="Y120" s="5"/>
      <c r="Z120" s="5"/>
      <c r="AA120" s="5"/>
      <c r="AB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18"/>
      <c r="K121" s="5"/>
      <c r="L121" s="5"/>
      <c r="M121" s="19"/>
      <c r="N121" s="19"/>
      <c r="O121" s="5"/>
      <c r="P121" s="5"/>
      <c r="Q121" s="5"/>
      <c r="R121" s="19"/>
      <c r="S121" s="7" t="str">
        <f aca="false">IF($M121="","",IF(AND($M121&gt;0,$N121&gt;0),"PASS","FAIL"))</f>
        <v/>
      </c>
      <c r="T121" s="20"/>
      <c r="U121" s="20"/>
      <c r="V121" s="21"/>
      <c r="W121" s="5"/>
      <c r="X121" s="5"/>
      <c r="Y121" s="5"/>
      <c r="Z121" s="5"/>
      <c r="AA121" s="5"/>
      <c r="AB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18"/>
      <c r="K122" s="5"/>
      <c r="L122" s="5"/>
      <c r="M122" s="19"/>
      <c r="N122" s="19"/>
      <c r="O122" s="5"/>
      <c r="P122" s="5"/>
      <c r="Q122" s="5"/>
      <c r="R122" s="19"/>
      <c r="S122" s="7" t="str">
        <f aca="false">IF($M122="","",IF(AND($M122&gt;0,$N122&gt;0),"PASS","FAIL"))</f>
        <v/>
      </c>
      <c r="T122" s="20"/>
      <c r="U122" s="20"/>
      <c r="V122" s="21"/>
      <c r="W122" s="5"/>
      <c r="X122" s="5"/>
      <c r="Y122" s="5"/>
      <c r="Z122" s="5"/>
      <c r="AA122" s="5"/>
      <c r="AB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18"/>
      <c r="K123" s="5"/>
      <c r="L123" s="5"/>
      <c r="M123" s="19"/>
      <c r="N123" s="19"/>
      <c r="O123" s="5"/>
      <c r="P123" s="5"/>
      <c r="Q123" s="5"/>
      <c r="R123" s="19"/>
      <c r="S123" s="7" t="str">
        <f aca="false">IF($M123="","",IF(AND($M123&gt;0,$N123&gt;0),"PASS","FAIL"))</f>
        <v/>
      </c>
      <c r="T123" s="20"/>
      <c r="U123" s="20"/>
      <c r="V123" s="21"/>
      <c r="W123" s="5"/>
      <c r="X123" s="5"/>
      <c r="Y123" s="5"/>
      <c r="Z123" s="5"/>
      <c r="AA123" s="5"/>
      <c r="AB123" s="5"/>
    </row>
  </sheetData>
  <autoFilter ref="A2:AB123"/>
  <mergeCells count="6">
    <mergeCell ref="A1:D1"/>
    <mergeCell ref="E1:J1"/>
    <mergeCell ref="K1:S1"/>
    <mergeCell ref="T1:W1"/>
    <mergeCell ref="X1:Y1"/>
    <mergeCell ref="Z1:AB1"/>
  </mergeCells>
  <dataValidations count="10">
    <dataValidation allowBlank="true" error="Pick a value from the Arm list on the Lookups sheet." errorStyle="stop" errorTitle="Not in list" operator="between" showDropDown="false" showErrorMessage="false" showInputMessage="false" sqref="E4:E123" type="list">
      <formula1>Lookups!$A$4:$A$5</formula1>
      <formula2>0</formula2>
    </dataValidation>
    <dataValidation allowBlank="true" error="Pick a value from the Route list on the Lookups sheet." errorStyle="stop" errorTitle="Not in list" operator="between" showDropDown="false" showErrorMessage="false" showInputMessage="false" sqref="F4:F123" type="list">
      <formula1>Lookups!$B$4:$B$8</formula1>
      <formula2>0</formula2>
    </dataValidation>
    <dataValidation allowBlank="true" error="Pick a value from the Member list on the Lookups sheet." errorStyle="stop" errorTitle="Not in list" operator="between" showDropDown="false" showErrorMessage="false" showInputMessage="false" sqref="G4:G123" type="list">
      <formula1>Lookups!$H$4:$H$14</formula1>
      <formula2>0</formula2>
    </dataValidation>
    <dataValidation allowBlank="true" error="Pick a value from the Schema list on the Lookups sheet." errorStyle="stop" errorTitle="Not in list" operator="between" showDropDown="false" showErrorMessage="false" showInputMessage="false" sqref="K4:K123" type="list">
      <formula1>Lookups!$I$4:$I$7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O4:O12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P4:P12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Q4:Q12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X4:X12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Y4:Y123" type="list">
      <formula1>Lookups!$G$4:$G$6</formula1>
      <formula2>0</formula2>
    </dataValidation>
    <dataValidation allowBlank="true" error="Pick a value from the Include list on the Lookups sheet." errorStyle="stop" errorTitle="Not in list" operator="between" showDropDown="false" showErrorMessage="false" showInputMessage="false" sqref="Z4:Z123" type="list">
      <formula1>Lookups!$K$4:$K$6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P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14" min="9" style="0" width="12"/>
    <col collapsed="false" customWidth="true" hidden="false" outlineLevel="0" max="16" min="15" style="0" width="10"/>
    <col collapsed="false" customWidth="true" hidden="false" outlineLevel="0" max="19" min="17" style="0" width="11"/>
    <col collapsed="false" customWidth="true" hidden="false" outlineLevel="0" max="21" min="20" style="0" width="12"/>
    <col collapsed="false" customWidth="true" hidden="false" outlineLevel="0" max="22" min="22" style="0" width="14"/>
    <col collapsed="false" customWidth="true" hidden="false" outlineLevel="0" max="23" min="23" style="0" width="12"/>
    <col collapsed="false" customWidth="true" hidden="false" outlineLevel="0" max="25" min="24" style="0" width="10"/>
    <col collapsed="false" customWidth="true" hidden="false" outlineLevel="0" max="29" min="26" style="0" width="11"/>
    <col collapsed="false" customWidth="true" hidden="false" outlineLevel="0" max="30" min="30" style="0" width="13"/>
    <col collapsed="false" customWidth="true" hidden="false" outlineLevel="0" max="31" min="31" style="0" width="18"/>
    <col collapsed="false" customWidth="true" hidden="false" outlineLevel="0" max="38" min="32" style="0" width="12"/>
    <col collapsed="false" customWidth="true" hidden="false" outlineLevel="0" max="41" min="39" style="0" width="11"/>
    <col collapsed="false" customWidth="true" hidden="false" outlineLevel="0" max="42" min="42" style="0" width="12"/>
    <col collapsed="false" customWidth="true" hidden="false" outlineLevel="0" max="44" min="43" style="0" width="11"/>
    <col collapsed="false" customWidth="true" hidden="false" outlineLevel="0" max="46" min="45" style="0" width="12"/>
    <col collapsed="false" customWidth="true" hidden="false" outlineLevel="0" max="49" min="47" style="0" width="11"/>
    <col collapsed="false" customWidth="true" hidden="false" outlineLevel="0" max="50" min="50" style="0" width="12"/>
    <col collapsed="false" customWidth="true" hidden="false" outlineLevel="0" max="51" min="51" style="0" width="9"/>
    <col collapsed="false" customWidth="true" hidden="false" outlineLevel="0" max="52" min="52" style="0" width="12"/>
    <col collapsed="false" customWidth="true" hidden="false" outlineLevel="0" max="53" min="53" style="0" width="34"/>
    <col collapsed="false" customWidth="true" hidden="false" outlineLevel="0" max="54" min="54" style="0" width="12"/>
    <col collapsed="false" customWidth="true" hidden="false" outlineLevel="0" max="55" min="55" style="0" width="11"/>
    <col collapsed="false" customWidth="true" hidden="false" outlineLevel="0" max="59" min="56" style="0" width="12"/>
    <col collapsed="false" customWidth="true" hidden="false" outlineLevel="0" max="60" min="60" style="0" width="11"/>
    <col collapsed="false" customWidth="true" hidden="false" outlineLevel="0" max="62" min="61" style="0" width="10"/>
    <col collapsed="false" customWidth="true" hidden="false" outlineLevel="0" max="64" min="63" style="0" width="11"/>
    <col collapsed="false" customWidth="true" hidden="false" outlineLevel="0" max="65" min="65" style="0" width="12"/>
    <col collapsed="false" customWidth="true" hidden="false" outlineLevel="0" max="68" min="66" style="0" width="11"/>
  </cols>
  <sheetData>
    <row r="1" customFormat="false" ht="18" hidden="false" customHeight="true" outlineLevel="0" collapsed="false">
      <c r="A1" s="12" t="s">
        <v>167</v>
      </c>
      <c r="B1" s="12"/>
      <c r="C1" s="12"/>
      <c r="D1" s="12"/>
      <c r="E1" s="12"/>
      <c r="F1" s="12"/>
      <c r="G1" s="12"/>
      <c r="H1" s="12"/>
      <c r="I1" s="12"/>
      <c r="J1" s="12" t="s">
        <v>129</v>
      </c>
      <c r="K1" s="12"/>
      <c r="L1" s="12"/>
      <c r="M1" s="12" t="s">
        <v>168</v>
      </c>
      <c r="N1" s="12"/>
      <c r="O1" s="12"/>
      <c r="P1" s="12"/>
      <c r="Q1" s="12"/>
      <c r="R1" s="12"/>
      <c r="S1" s="12"/>
      <c r="T1" s="12" t="s">
        <v>169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170</v>
      </c>
      <c r="AG1" s="12"/>
      <c r="AH1" s="12"/>
      <c r="AI1" s="12"/>
      <c r="AJ1" s="12"/>
      <c r="AK1" s="12"/>
      <c r="AL1" s="12"/>
      <c r="AM1" s="12"/>
      <c r="AN1" s="12" t="s">
        <v>171</v>
      </c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 t="s">
        <v>172</v>
      </c>
      <c r="AZ1" s="12"/>
      <c r="BA1" s="22" t="s">
        <v>173</v>
      </c>
      <c r="BB1" s="12" t="s">
        <v>174</v>
      </c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</row>
    <row r="2" customFormat="false" ht="42" hidden="false" customHeight="true" outlineLevel="0" collapsed="false">
      <c r="A2" s="13" t="s">
        <v>175</v>
      </c>
      <c r="B2" s="13" t="s">
        <v>34</v>
      </c>
      <c r="C2" s="13" t="s">
        <v>176</v>
      </c>
      <c r="D2" s="13" t="s">
        <v>177</v>
      </c>
      <c r="E2" s="13" t="s">
        <v>178</v>
      </c>
      <c r="F2" s="13" t="s">
        <v>179</v>
      </c>
      <c r="G2" s="13" t="s">
        <v>180</v>
      </c>
      <c r="H2" s="13" t="s">
        <v>181</v>
      </c>
      <c r="I2" s="13" t="s">
        <v>40</v>
      </c>
      <c r="J2" s="13" t="s">
        <v>182</v>
      </c>
      <c r="K2" s="13" t="s">
        <v>183</v>
      </c>
      <c r="L2" s="13" t="s">
        <v>184</v>
      </c>
      <c r="M2" s="13" t="s">
        <v>185</v>
      </c>
      <c r="N2" s="13" t="s">
        <v>186</v>
      </c>
      <c r="O2" s="13" t="s">
        <v>187</v>
      </c>
      <c r="P2" s="13" t="s">
        <v>188</v>
      </c>
      <c r="Q2" s="13" t="s">
        <v>189</v>
      </c>
      <c r="R2" s="13" t="s">
        <v>190</v>
      </c>
      <c r="S2" s="13" t="s">
        <v>191</v>
      </c>
      <c r="T2" s="13" t="s">
        <v>192</v>
      </c>
      <c r="U2" s="13" t="s">
        <v>193</v>
      </c>
      <c r="V2" s="13" t="s">
        <v>194</v>
      </c>
      <c r="W2" s="13" t="s">
        <v>195</v>
      </c>
      <c r="X2" s="13" t="s">
        <v>196</v>
      </c>
      <c r="Y2" s="13" t="s">
        <v>197</v>
      </c>
      <c r="Z2" s="13" t="s">
        <v>198</v>
      </c>
      <c r="AA2" s="13" t="s">
        <v>199</v>
      </c>
      <c r="AB2" s="13" t="s">
        <v>200</v>
      </c>
      <c r="AC2" s="13" t="s">
        <v>201</v>
      </c>
      <c r="AD2" s="13" t="s">
        <v>202</v>
      </c>
      <c r="AE2" s="13" t="s">
        <v>203</v>
      </c>
      <c r="AF2" s="13" t="s">
        <v>204</v>
      </c>
      <c r="AG2" s="13" t="s">
        <v>205</v>
      </c>
      <c r="AH2" s="13" t="s">
        <v>206</v>
      </c>
      <c r="AI2" s="13" t="s">
        <v>207</v>
      </c>
      <c r="AJ2" s="13" t="s">
        <v>208</v>
      </c>
      <c r="AK2" s="13" t="s">
        <v>209</v>
      </c>
      <c r="AL2" s="13" t="s">
        <v>210</v>
      </c>
      <c r="AM2" s="13" t="s">
        <v>211</v>
      </c>
      <c r="AN2" s="13" t="s">
        <v>212</v>
      </c>
      <c r="AO2" s="13" t="s">
        <v>213</v>
      </c>
      <c r="AP2" s="13" t="s">
        <v>214</v>
      </c>
      <c r="AQ2" s="13" t="s">
        <v>215</v>
      </c>
      <c r="AR2" s="13" t="s">
        <v>216</v>
      </c>
      <c r="AS2" s="13" t="s">
        <v>217</v>
      </c>
      <c r="AT2" s="13" t="s">
        <v>218</v>
      </c>
      <c r="AU2" s="13" t="s">
        <v>219</v>
      </c>
      <c r="AV2" s="13" t="s">
        <v>220</v>
      </c>
      <c r="AW2" s="13" t="s">
        <v>221</v>
      </c>
      <c r="AX2" s="13" t="s">
        <v>222</v>
      </c>
      <c r="AY2" s="13" t="s">
        <v>223</v>
      </c>
      <c r="AZ2" s="13" t="s">
        <v>224</v>
      </c>
      <c r="BA2" s="13" t="s">
        <v>156</v>
      </c>
      <c r="BB2" s="13" t="s">
        <v>225</v>
      </c>
      <c r="BC2" s="13" t="s">
        <v>226</v>
      </c>
      <c r="BD2" s="13" t="s">
        <v>227</v>
      </c>
      <c r="BE2" s="13" t="s">
        <v>228</v>
      </c>
      <c r="BF2" s="13" t="s">
        <v>229</v>
      </c>
      <c r="BG2" s="13" t="s">
        <v>230</v>
      </c>
      <c r="BH2" s="13" t="s">
        <v>231</v>
      </c>
      <c r="BI2" s="13" t="s">
        <v>232</v>
      </c>
      <c r="BJ2" s="13" t="s">
        <v>233</v>
      </c>
      <c r="BK2" s="13" t="s">
        <v>234</v>
      </c>
      <c r="BL2" s="13" t="s">
        <v>235</v>
      </c>
      <c r="BM2" s="13" t="s">
        <v>236</v>
      </c>
      <c r="BN2" s="13" t="s">
        <v>237</v>
      </c>
      <c r="BO2" s="13" t="s">
        <v>238</v>
      </c>
      <c r="BP2" s="13" t="s">
        <v>239</v>
      </c>
    </row>
    <row r="3" customFormat="false" ht="15" hidden="false" customHeight="false" outlineLevel="0" collapsed="false">
      <c r="A3" s="8" t="str">
        <f aca="false">IF($B3="","",$B3&amp;"|"&amp;$C3&amp;"|"&amp;$F3)</f>
        <v>SYN-001|3vB2Yk$Qn0dfPvSHLmA9Zt|C0</v>
      </c>
      <c r="B3" s="8" t="s">
        <v>157</v>
      </c>
      <c r="C3" s="8" t="s">
        <v>240</v>
      </c>
      <c r="D3" s="8" t="s">
        <v>241</v>
      </c>
      <c r="E3" s="8" t="s">
        <v>242</v>
      </c>
      <c r="F3" s="8" t="s">
        <v>66</v>
      </c>
      <c r="G3" s="8" t="s">
        <v>75</v>
      </c>
      <c r="H3" s="8" t="s">
        <v>69</v>
      </c>
      <c r="I3" s="8" t="s">
        <v>243</v>
      </c>
      <c r="J3" s="16" t="n">
        <v>120</v>
      </c>
      <c r="K3" s="16" t="n">
        <v>120</v>
      </c>
      <c r="L3" s="23" t="n">
        <v>12</v>
      </c>
      <c r="M3" s="16" t="n">
        <v>120</v>
      </c>
      <c r="N3" s="23" t="n">
        <v>12</v>
      </c>
      <c r="O3" s="15" t="n">
        <v>8</v>
      </c>
      <c r="P3" s="15" t="n">
        <v>12</v>
      </c>
      <c r="Q3" s="8" t="s">
        <v>70</v>
      </c>
      <c r="R3" s="15" t="n">
        <v>0</v>
      </c>
      <c r="S3" s="8" t="s">
        <v>70</v>
      </c>
      <c r="T3" s="16" t="n">
        <v>120</v>
      </c>
      <c r="U3" s="16" t="n">
        <v>119.214</v>
      </c>
      <c r="V3" s="24" t="n">
        <v>9.7E-011</v>
      </c>
      <c r="W3" s="23" t="n">
        <v>12</v>
      </c>
      <c r="X3" s="15" t="n">
        <v>8</v>
      </c>
      <c r="Y3" s="15" t="n">
        <v>12</v>
      </c>
      <c r="Z3" s="8" t="s">
        <v>70</v>
      </c>
      <c r="AA3" s="15" t="n">
        <v>0</v>
      </c>
      <c r="AB3" s="8" t="s">
        <v>70</v>
      </c>
      <c r="AC3" s="8" t="s">
        <v>84</v>
      </c>
      <c r="AD3" s="8" t="s">
        <v>76</v>
      </c>
      <c r="AE3" s="8" t="s">
        <v>77</v>
      </c>
      <c r="AF3" s="25" t="n">
        <v>0.4</v>
      </c>
      <c r="AG3" s="25" t="n">
        <v>1.1</v>
      </c>
      <c r="AH3" s="25" t="n">
        <v>1.6</v>
      </c>
      <c r="AI3" s="25" t="n">
        <v>1.6</v>
      </c>
      <c r="AJ3" s="25" t="n">
        <v>0.2</v>
      </c>
      <c r="AK3" s="25" t="n">
        <v>12</v>
      </c>
      <c r="AL3" s="23" t="n">
        <v>0.011</v>
      </c>
      <c r="AM3" s="8" t="s">
        <v>70</v>
      </c>
      <c r="AN3" s="15" t="n">
        <v>6</v>
      </c>
      <c r="AO3" s="15" t="n">
        <v>0</v>
      </c>
      <c r="AP3" s="8" t="s">
        <v>84</v>
      </c>
      <c r="AQ3" s="8" t="s">
        <v>70</v>
      </c>
      <c r="AR3" s="8" t="s">
        <v>70</v>
      </c>
      <c r="AS3" s="8" t="s">
        <v>70</v>
      </c>
      <c r="AT3" s="8" t="s">
        <v>70</v>
      </c>
      <c r="AU3" s="15" t="n">
        <v>14</v>
      </c>
      <c r="AV3" s="15" t="n">
        <v>3</v>
      </c>
      <c r="AW3" s="8" t="s">
        <v>70</v>
      </c>
      <c r="AX3" s="8" t="s">
        <v>70</v>
      </c>
      <c r="AY3" s="15" t="n">
        <v>1</v>
      </c>
      <c r="AZ3" s="25" t="n">
        <v>0</v>
      </c>
      <c r="BA3" s="8" t="s">
        <v>244</v>
      </c>
      <c r="BB3" s="16" t="n">
        <f aca="false">IF(OR($T3="",$M3=""),"",$T3-$M3)</f>
        <v>0</v>
      </c>
      <c r="BC3" s="26" t="n">
        <f aca="false">IF(OR($T3="",$M3="",$M3=0),"",($T3-$M3)/$M3)</f>
        <v>0</v>
      </c>
      <c r="BD3" s="16" t="n">
        <f aca="false">IF(OR($U3="",$M3=""),"",$U3-$M3)</f>
        <v>-0.786000000000001</v>
      </c>
      <c r="BE3" s="26" t="n">
        <f aca="false">IF(OR($U3="",$M3="",$M3=0),"",($U3-$M3)/$M3)</f>
        <v>-0.00655000000000001</v>
      </c>
      <c r="BF3" s="26" t="n">
        <f aca="false">IF(OR($U3="",$J3="",$J3=0),"",($U3-$J3)/$J3)</f>
        <v>-0.00655000000000001</v>
      </c>
      <c r="BG3" s="26" t="n">
        <f aca="false">IF(OR($M3="",$K3="",$K3=0),"",($M3-$K3)/$K3)</f>
        <v>0</v>
      </c>
      <c r="BH3" s="26" t="n">
        <f aca="false">IF(OR($W3="",$N3="",$N3=0),"",($W3-$N3)/$N3)</f>
        <v>0</v>
      </c>
      <c r="BI3" s="15" t="n">
        <f aca="false">IF(OR($O3="",$X3=""),"",$O3-$X3)</f>
        <v>0</v>
      </c>
      <c r="BJ3" s="15" t="n">
        <f aca="false">IF(OR($P3="",$Y3=""),"",$P3-$Y3)</f>
        <v>0</v>
      </c>
      <c r="BK3" s="27" t="n">
        <f aca="false">IF(OR($AN3="",$AO3="",$AN3=0),"",$AO3/$AN3)</f>
        <v>0</v>
      </c>
      <c r="BL3" s="27" t="n">
        <f aca="false">IF(OR($AU3="",$AV3="",$AU3=0),"",$AV3/$AU3)</f>
        <v>0.214285714285714</v>
      </c>
      <c r="BM3" s="8" t="str">
        <f aca="false">IF($Z3="","",IF(AND($Z3="Y",$AB3&lt;&gt;"N",$AC3&lt;&gt;"Y"),"Y","N"))</f>
        <v>Y</v>
      </c>
      <c r="BN3" s="8" t="str">
        <f aca="false">IF($AH3="","",IF($Z3&lt;&gt;"Y","undefined",IF($AH3&lt;=1,"Y","N")))</f>
        <v>N</v>
      </c>
      <c r="BO3" s="8" t="str">
        <f aca="false">IF($AH3="","",IF($Z3&lt;&gt;"Y","undefined",IF($AH3&lt;=10,"Y","N")))</f>
        <v>Y</v>
      </c>
      <c r="BP3" s="8" t="str">
        <f aca="false">IF($AH3="","",IF($Z3&lt;&gt;"Y","undefined",IF($AH3&lt;=100,"Y","N")))</f>
        <v>Y</v>
      </c>
    </row>
    <row r="4" customFormat="false" ht="15" hidden="false" customHeight="false" outlineLevel="0" collapsed="false">
      <c r="A4" s="7" t="str">
        <f aca="false">IF($B4="","",$B4&amp;"|"&amp;$C4&amp;"|"&amp;$F4)</f>
        <v/>
      </c>
      <c r="B4" s="5"/>
      <c r="C4" s="5"/>
      <c r="D4" s="5"/>
      <c r="E4" s="5"/>
      <c r="F4" s="5"/>
      <c r="G4" s="5"/>
      <c r="H4" s="5"/>
      <c r="I4" s="5"/>
      <c r="J4" s="20"/>
      <c r="K4" s="20"/>
      <c r="L4" s="28"/>
      <c r="M4" s="20"/>
      <c r="N4" s="28"/>
      <c r="O4" s="19"/>
      <c r="P4" s="19"/>
      <c r="Q4" s="5"/>
      <c r="R4" s="19"/>
      <c r="S4" s="5"/>
      <c r="T4" s="20"/>
      <c r="U4" s="20"/>
      <c r="V4" s="29"/>
      <c r="W4" s="28"/>
      <c r="X4" s="19"/>
      <c r="Y4" s="19"/>
      <c r="Z4" s="5"/>
      <c r="AA4" s="19"/>
      <c r="AB4" s="5"/>
      <c r="AC4" s="5"/>
      <c r="AD4" s="5"/>
      <c r="AE4" s="5"/>
      <c r="AF4" s="30"/>
      <c r="AG4" s="30"/>
      <c r="AH4" s="30"/>
      <c r="AI4" s="30"/>
      <c r="AJ4" s="30"/>
      <c r="AK4" s="30"/>
      <c r="AL4" s="28"/>
      <c r="AM4" s="5"/>
      <c r="AN4" s="19"/>
      <c r="AO4" s="19"/>
      <c r="AP4" s="5"/>
      <c r="AQ4" s="5"/>
      <c r="AR4" s="5"/>
      <c r="AS4" s="5"/>
      <c r="AT4" s="5"/>
      <c r="AU4" s="19"/>
      <c r="AV4" s="19"/>
      <c r="AW4" s="5"/>
      <c r="AX4" s="5"/>
      <c r="AY4" s="19"/>
      <c r="AZ4" s="30"/>
      <c r="BA4" s="5"/>
      <c r="BB4" s="31" t="str">
        <f aca="false">IF(OR($T4="",$M4=""),"",$T4-$M4)</f>
        <v/>
      </c>
      <c r="BC4" s="32" t="str">
        <f aca="false">IF(OR($T4="",$M4="",$M4=0),"",($T4-$M4)/$M4)</f>
        <v/>
      </c>
      <c r="BD4" s="31" t="str">
        <f aca="false">IF(OR($U4="",$M4=""),"",$U4-$M4)</f>
        <v/>
      </c>
      <c r="BE4" s="32" t="str">
        <f aca="false">IF(OR($U4="",$M4="",$M4=0),"",($U4-$M4)/$M4)</f>
        <v/>
      </c>
      <c r="BF4" s="32" t="str">
        <f aca="false">IF(OR($U4="",$J4="",$J4=0),"",($U4-$J4)/$J4)</f>
        <v/>
      </c>
      <c r="BG4" s="32" t="str">
        <f aca="false">IF(OR($M4="",$K4="",$K4=0),"",($M4-$K4)/$K4)</f>
        <v/>
      </c>
      <c r="BH4" s="32" t="str">
        <f aca="false">IF(OR($W4="",$N4="",$N4=0),"",($W4-$N4)/$N4)</f>
        <v/>
      </c>
      <c r="BI4" s="33" t="str">
        <f aca="false">IF(OR($O4="",$X4=""),"",$O4-$X4)</f>
        <v/>
      </c>
      <c r="BJ4" s="33" t="str">
        <f aca="false">IF(OR($P4="",$Y4=""),"",$P4-$Y4)</f>
        <v/>
      </c>
      <c r="BK4" s="34" t="str">
        <f aca="false">IF(OR($AN4="",$AO4="",$AN4=0),"",$AO4/$AN4)</f>
        <v/>
      </c>
      <c r="BL4" s="34" t="str">
        <f aca="false">IF(OR($AU4="",$AV4="",$AU4=0),"",$AV4/$AU4)</f>
        <v/>
      </c>
      <c r="BM4" s="7" t="str">
        <f aca="false">IF($Z4="","",IF(AND($Z4="Y",$AB4&lt;&gt;"N",$AC4&lt;&gt;"Y"),"Y","N"))</f>
        <v/>
      </c>
      <c r="BN4" s="7" t="str">
        <f aca="false">IF($AH4="","",IF($Z4&lt;&gt;"Y","undefined",IF($AH4&lt;=1,"Y","N")))</f>
        <v/>
      </c>
      <c r="BO4" s="7" t="str">
        <f aca="false">IF($AH4="","",IF($Z4&lt;&gt;"Y","undefined",IF($AH4&lt;=10,"Y","N")))</f>
        <v/>
      </c>
      <c r="BP4" s="7" t="str">
        <f aca="false">IF($AH4="","",IF($Z4&lt;&gt;"Y","undefined",IF($AH4&lt;=100,"Y","N")))</f>
        <v/>
      </c>
    </row>
    <row r="5" customFormat="false" ht="15" hidden="false" customHeight="false" outlineLevel="0" collapsed="false">
      <c r="A5" s="7" t="str">
        <f aca="false">IF($B5="","",$B5&amp;"|"&amp;$C5&amp;"|"&amp;$F5)</f>
        <v/>
      </c>
      <c r="B5" s="5"/>
      <c r="C5" s="5"/>
      <c r="D5" s="5"/>
      <c r="E5" s="5"/>
      <c r="F5" s="5"/>
      <c r="G5" s="5"/>
      <c r="H5" s="5"/>
      <c r="I5" s="5"/>
      <c r="J5" s="20"/>
      <c r="K5" s="20"/>
      <c r="L5" s="28"/>
      <c r="M5" s="20"/>
      <c r="N5" s="28"/>
      <c r="O5" s="19"/>
      <c r="P5" s="19"/>
      <c r="Q5" s="5"/>
      <c r="R5" s="19"/>
      <c r="S5" s="5"/>
      <c r="T5" s="20"/>
      <c r="U5" s="20"/>
      <c r="V5" s="29"/>
      <c r="W5" s="28"/>
      <c r="X5" s="19"/>
      <c r="Y5" s="19"/>
      <c r="Z5" s="5"/>
      <c r="AA5" s="19"/>
      <c r="AB5" s="5"/>
      <c r="AC5" s="5"/>
      <c r="AD5" s="5"/>
      <c r="AE5" s="5"/>
      <c r="AF5" s="30"/>
      <c r="AG5" s="30"/>
      <c r="AH5" s="30"/>
      <c r="AI5" s="30"/>
      <c r="AJ5" s="30"/>
      <c r="AK5" s="30"/>
      <c r="AL5" s="28"/>
      <c r="AM5" s="5"/>
      <c r="AN5" s="19"/>
      <c r="AO5" s="19"/>
      <c r="AP5" s="5"/>
      <c r="AQ5" s="5"/>
      <c r="AR5" s="5"/>
      <c r="AS5" s="5"/>
      <c r="AT5" s="5"/>
      <c r="AU5" s="19"/>
      <c r="AV5" s="19"/>
      <c r="AW5" s="5"/>
      <c r="AX5" s="5"/>
      <c r="AY5" s="19"/>
      <c r="AZ5" s="30"/>
      <c r="BA5" s="5"/>
      <c r="BB5" s="31" t="str">
        <f aca="false">IF(OR($T5="",$M5=""),"",$T5-$M5)</f>
        <v/>
      </c>
      <c r="BC5" s="32" t="str">
        <f aca="false">IF(OR($T5="",$M5="",$M5=0),"",($T5-$M5)/$M5)</f>
        <v/>
      </c>
      <c r="BD5" s="31" t="str">
        <f aca="false">IF(OR($U5="",$M5=""),"",$U5-$M5)</f>
        <v/>
      </c>
      <c r="BE5" s="32" t="str">
        <f aca="false">IF(OR($U5="",$M5="",$M5=0),"",($U5-$M5)/$M5)</f>
        <v/>
      </c>
      <c r="BF5" s="32" t="str">
        <f aca="false">IF(OR($U5="",$J5="",$J5=0),"",($U5-$J5)/$J5)</f>
        <v/>
      </c>
      <c r="BG5" s="32" t="str">
        <f aca="false">IF(OR($M5="",$K5="",$K5=0),"",($M5-$K5)/$K5)</f>
        <v/>
      </c>
      <c r="BH5" s="32" t="str">
        <f aca="false">IF(OR($W5="",$N5="",$N5=0),"",($W5-$N5)/$N5)</f>
        <v/>
      </c>
      <c r="BI5" s="33" t="str">
        <f aca="false">IF(OR($O5="",$X5=""),"",$O5-$X5)</f>
        <v/>
      </c>
      <c r="BJ5" s="33" t="str">
        <f aca="false">IF(OR($P5="",$Y5=""),"",$P5-$Y5)</f>
        <v/>
      </c>
      <c r="BK5" s="34" t="str">
        <f aca="false">IF(OR($AN5="",$AO5="",$AN5=0),"",$AO5/$AN5)</f>
        <v/>
      </c>
      <c r="BL5" s="34" t="str">
        <f aca="false">IF(OR($AU5="",$AV5="",$AU5=0),"",$AV5/$AU5)</f>
        <v/>
      </c>
      <c r="BM5" s="7" t="str">
        <f aca="false">IF($Z5="","",IF(AND($Z5="Y",$AB5&lt;&gt;"N",$AC5&lt;&gt;"Y"),"Y","N"))</f>
        <v/>
      </c>
      <c r="BN5" s="7" t="str">
        <f aca="false">IF($AH5="","",IF($Z5&lt;&gt;"Y","undefined",IF($AH5&lt;=1,"Y","N")))</f>
        <v/>
      </c>
      <c r="BO5" s="7" t="str">
        <f aca="false">IF($AH5="","",IF($Z5&lt;&gt;"Y","undefined",IF($AH5&lt;=10,"Y","N")))</f>
        <v/>
      </c>
      <c r="BP5" s="7" t="str">
        <f aca="false">IF($AH5="","",IF($Z5&lt;&gt;"Y","undefined",IF($AH5&lt;=100,"Y","N")))</f>
        <v/>
      </c>
    </row>
    <row r="6" customFormat="false" ht="15" hidden="false" customHeight="false" outlineLevel="0" collapsed="false">
      <c r="A6" s="7" t="str">
        <f aca="false">IF($B6="","",$B6&amp;"|"&amp;$C6&amp;"|"&amp;$F6)</f>
        <v/>
      </c>
      <c r="B6" s="5"/>
      <c r="C6" s="5"/>
      <c r="D6" s="5"/>
      <c r="E6" s="5"/>
      <c r="F6" s="5"/>
      <c r="G6" s="5"/>
      <c r="H6" s="5"/>
      <c r="I6" s="5"/>
      <c r="J6" s="20"/>
      <c r="K6" s="20"/>
      <c r="L6" s="28"/>
      <c r="M6" s="20"/>
      <c r="N6" s="28"/>
      <c r="O6" s="19"/>
      <c r="P6" s="19"/>
      <c r="Q6" s="5"/>
      <c r="R6" s="19"/>
      <c r="S6" s="5"/>
      <c r="T6" s="20"/>
      <c r="U6" s="20"/>
      <c r="V6" s="29"/>
      <c r="W6" s="28"/>
      <c r="X6" s="19"/>
      <c r="Y6" s="19"/>
      <c r="Z6" s="5"/>
      <c r="AA6" s="19"/>
      <c r="AB6" s="5"/>
      <c r="AC6" s="5"/>
      <c r="AD6" s="5"/>
      <c r="AE6" s="5"/>
      <c r="AF6" s="30"/>
      <c r="AG6" s="30"/>
      <c r="AH6" s="30"/>
      <c r="AI6" s="30"/>
      <c r="AJ6" s="30"/>
      <c r="AK6" s="30"/>
      <c r="AL6" s="28"/>
      <c r="AM6" s="5"/>
      <c r="AN6" s="19"/>
      <c r="AO6" s="19"/>
      <c r="AP6" s="5"/>
      <c r="AQ6" s="5"/>
      <c r="AR6" s="5"/>
      <c r="AS6" s="5"/>
      <c r="AT6" s="5"/>
      <c r="AU6" s="19"/>
      <c r="AV6" s="19"/>
      <c r="AW6" s="5"/>
      <c r="AX6" s="5"/>
      <c r="AY6" s="19"/>
      <c r="AZ6" s="30"/>
      <c r="BA6" s="5"/>
      <c r="BB6" s="31" t="str">
        <f aca="false">IF(OR($T6="",$M6=""),"",$T6-$M6)</f>
        <v/>
      </c>
      <c r="BC6" s="32" t="str">
        <f aca="false">IF(OR($T6="",$M6="",$M6=0),"",($T6-$M6)/$M6)</f>
        <v/>
      </c>
      <c r="BD6" s="31" t="str">
        <f aca="false">IF(OR($U6="",$M6=""),"",$U6-$M6)</f>
        <v/>
      </c>
      <c r="BE6" s="32" t="str">
        <f aca="false">IF(OR($U6="",$M6="",$M6=0),"",($U6-$M6)/$M6)</f>
        <v/>
      </c>
      <c r="BF6" s="32" t="str">
        <f aca="false">IF(OR($U6="",$J6="",$J6=0),"",($U6-$J6)/$J6)</f>
        <v/>
      </c>
      <c r="BG6" s="32" t="str">
        <f aca="false">IF(OR($M6="",$K6="",$K6=0),"",($M6-$K6)/$K6)</f>
        <v/>
      </c>
      <c r="BH6" s="32" t="str">
        <f aca="false">IF(OR($W6="",$N6="",$N6=0),"",($W6-$N6)/$N6)</f>
        <v/>
      </c>
      <c r="BI6" s="33" t="str">
        <f aca="false">IF(OR($O6="",$X6=""),"",$O6-$X6)</f>
        <v/>
      </c>
      <c r="BJ6" s="33" t="str">
        <f aca="false">IF(OR($P6="",$Y6=""),"",$P6-$Y6)</f>
        <v/>
      </c>
      <c r="BK6" s="34" t="str">
        <f aca="false">IF(OR($AN6="",$AO6="",$AN6=0),"",$AO6/$AN6)</f>
        <v/>
      </c>
      <c r="BL6" s="34" t="str">
        <f aca="false">IF(OR($AU6="",$AV6="",$AU6=0),"",$AV6/$AU6)</f>
        <v/>
      </c>
      <c r="BM6" s="7" t="str">
        <f aca="false">IF($Z6="","",IF(AND($Z6="Y",$AB6&lt;&gt;"N",$AC6&lt;&gt;"Y"),"Y","N"))</f>
        <v/>
      </c>
      <c r="BN6" s="7" t="str">
        <f aca="false">IF($AH6="","",IF($Z6&lt;&gt;"Y","undefined",IF($AH6&lt;=1,"Y","N")))</f>
        <v/>
      </c>
      <c r="BO6" s="7" t="str">
        <f aca="false">IF($AH6="","",IF($Z6&lt;&gt;"Y","undefined",IF($AH6&lt;=10,"Y","N")))</f>
        <v/>
      </c>
      <c r="BP6" s="7" t="str">
        <f aca="false">IF($AH6="","",IF($Z6&lt;&gt;"Y","undefined",IF($AH6&lt;=100,"Y","N")))</f>
        <v/>
      </c>
    </row>
    <row r="7" customFormat="false" ht="15" hidden="false" customHeight="false" outlineLevel="0" collapsed="false">
      <c r="A7" s="7" t="str">
        <f aca="false">IF($B7="","",$B7&amp;"|"&amp;$C7&amp;"|"&amp;$F7)</f>
        <v/>
      </c>
      <c r="B7" s="5"/>
      <c r="C7" s="5"/>
      <c r="D7" s="5"/>
      <c r="E7" s="5"/>
      <c r="F7" s="5"/>
      <c r="G7" s="5"/>
      <c r="H7" s="5"/>
      <c r="I7" s="5"/>
      <c r="J7" s="20"/>
      <c r="K7" s="20"/>
      <c r="L7" s="28"/>
      <c r="M7" s="20"/>
      <c r="N7" s="28"/>
      <c r="O7" s="19"/>
      <c r="P7" s="19"/>
      <c r="Q7" s="5"/>
      <c r="R7" s="19"/>
      <c r="S7" s="5"/>
      <c r="T7" s="20"/>
      <c r="U7" s="20"/>
      <c r="V7" s="29"/>
      <c r="W7" s="28"/>
      <c r="X7" s="19"/>
      <c r="Y7" s="19"/>
      <c r="Z7" s="5"/>
      <c r="AA7" s="19"/>
      <c r="AB7" s="5"/>
      <c r="AC7" s="5"/>
      <c r="AD7" s="5"/>
      <c r="AE7" s="5"/>
      <c r="AF7" s="30"/>
      <c r="AG7" s="30"/>
      <c r="AH7" s="30"/>
      <c r="AI7" s="30"/>
      <c r="AJ7" s="30"/>
      <c r="AK7" s="30"/>
      <c r="AL7" s="28"/>
      <c r="AM7" s="5"/>
      <c r="AN7" s="19"/>
      <c r="AO7" s="19"/>
      <c r="AP7" s="5"/>
      <c r="AQ7" s="5"/>
      <c r="AR7" s="5"/>
      <c r="AS7" s="5"/>
      <c r="AT7" s="5"/>
      <c r="AU7" s="19"/>
      <c r="AV7" s="19"/>
      <c r="AW7" s="5"/>
      <c r="AX7" s="5"/>
      <c r="AY7" s="19"/>
      <c r="AZ7" s="30"/>
      <c r="BA7" s="5"/>
      <c r="BB7" s="31" t="str">
        <f aca="false">IF(OR($T7="",$M7=""),"",$T7-$M7)</f>
        <v/>
      </c>
      <c r="BC7" s="32" t="str">
        <f aca="false">IF(OR($T7="",$M7="",$M7=0),"",($T7-$M7)/$M7)</f>
        <v/>
      </c>
      <c r="BD7" s="31" t="str">
        <f aca="false">IF(OR($U7="",$M7=""),"",$U7-$M7)</f>
        <v/>
      </c>
      <c r="BE7" s="32" t="str">
        <f aca="false">IF(OR($U7="",$M7="",$M7=0),"",($U7-$M7)/$M7)</f>
        <v/>
      </c>
      <c r="BF7" s="32" t="str">
        <f aca="false">IF(OR($U7="",$J7="",$J7=0),"",($U7-$J7)/$J7)</f>
        <v/>
      </c>
      <c r="BG7" s="32" t="str">
        <f aca="false">IF(OR($M7="",$K7="",$K7=0),"",($M7-$K7)/$K7)</f>
        <v/>
      </c>
      <c r="BH7" s="32" t="str">
        <f aca="false">IF(OR($W7="",$N7="",$N7=0),"",($W7-$N7)/$N7)</f>
        <v/>
      </c>
      <c r="BI7" s="33" t="str">
        <f aca="false">IF(OR($O7="",$X7=""),"",$O7-$X7)</f>
        <v/>
      </c>
      <c r="BJ7" s="33" t="str">
        <f aca="false">IF(OR($P7="",$Y7=""),"",$P7-$Y7)</f>
        <v/>
      </c>
      <c r="BK7" s="34" t="str">
        <f aca="false">IF(OR($AN7="",$AO7="",$AN7=0),"",$AO7/$AN7)</f>
        <v/>
      </c>
      <c r="BL7" s="34" t="str">
        <f aca="false">IF(OR($AU7="",$AV7="",$AU7=0),"",$AV7/$AU7)</f>
        <v/>
      </c>
      <c r="BM7" s="7" t="str">
        <f aca="false">IF($Z7="","",IF(AND($Z7="Y",$AB7&lt;&gt;"N",$AC7&lt;&gt;"Y"),"Y","N"))</f>
        <v/>
      </c>
      <c r="BN7" s="7" t="str">
        <f aca="false">IF($AH7="","",IF($Z7&lt;&gt;"Y","undefined",IF($AH7&lt;=1,"Y","N")))</f>
        <v/>
      </c>
      <c r="BO7" s="7" t="str">
        <f aca="false">IF($AH7="","",IF($Z7&lt;&gt;"Y","undefined",IF($AH7&lt;=10,"Y","N")))</f>
        <v/>
      </c>
      <c r="BP7" s="7" t="str">
        <f aca="false">IF($AH7="","",IF($Z7&lt;&gt;"Y","undefined",IF($AH7&lt;=100,"Y","N")))</f>
        <v/>
      </c>
    </row>
    <row r="8" customFormat="false" ht="15" hidden="false" customHeight="false" outlineLevel="0" collapsed="false">
      <c r="A8" s="7" t="str">
        <f aca="false">IF($B8="","",$B8&amp;"|"&amp;$C8&amp;"|"&amp;$F8)</f>
        <v/>
      </c>
      <c r="B8" s="5"/>
      <c r="C8" s="5"/>
      <c r="D8" s="5"/>
      <c r="E8" s="5"/>
      <c r="F8" s="5"/>
      <c r="G8" s="5"/>
      <c r="H8" s="5"/>
      <c r="I8" s="5"/>
      <c r="J8" s="20"/>
      <c r="K8" s="20"/>
      <c r="L8" s="28"/>
      <c r="M8" s="20"/>
      <c r="N8" s="28"/>
      <c r="O8" s="19"/>
      <c r="P8" s="19"/>
      <c r="Q8" s="5"/>
      <c r="R8" s="19"/>
      <c r="S8" s="5"/>
      <c r="T8" s="20"/>
      <c r="U8" s="20"/>
      <c r="V8" s="29"/>
      <c r="W8" s="28"/>
      <c r="X8" s="19"/>
      <c r="Y8" s="19"/>
      <c r="Z8" s="5"/>
      <c r="AA8" s="19"/>
      <c r="AB8" s="5"/>
      <c r="AC8" s="5"/>
      <c r="AD8" s="5"/>
      <c r="AE8" s="5"/>
      <c r="AF8" s="30"/>
      <c r="AG8" s="30"/>
      <c r="AH8" s="30"/>
      <c r="AI8" s="30"/>
      <c r="AJ8" s="30"/>
      <c r="AK8" s="30"/>
      <c r="AL8" s="28"/>
      <c r="AM8" s="5"/>
      <c r="AN8" s="19"/>
      <c r="AO8" s="19"/>
      <c r="AP8" s="5"/>
      <c r="AQ8" s="5"/>
      <c r="AR8" s="5"/>
      <c r="AS8" s="5"/>
      <c r="AT8" s="5"/>
      <c r="AU8" s="19"/>
      <c r="AV8" s="19"/>
      <c r="AW8" s="5"/>
      <c r="AX8" s="5"/>
      <c r="AY8" s="19"/>
      <c r="AZ8" s="30"/>
      <c r="BA8" s="5"/>
      <c r="BB8" s="31" t="str">
        <f aca="false">IF(OR($T8="",$M8=""),"",$T8-$M8)</f>
        <v/>
      </c>
      <c r="BC8" s="32" t="str">
        <f aca="false">IF(OR($T8="",$M8="",$M8=0),"",($T8-$M8)/$M8)</f>
        <v/>
      </c>
      <c r="BD8" s="31" t="str">
        <f aca="false">IF(OR($U8="",$M8=""),"",$U8-$M8)</f>
        <v/>
      </c>
      <c r="BE8" s="32" t="str">
        <f aca="false">IF(OR($U8="",$M8="",$M8=0),"",($U8-$M8)/$M8)</f>
        <v/>
      </c>
      <c r="BF8" s="32" t="str">
        <f aca="false">IF(OR($U8="",$J8="",$J8=0),"",($U8-$J8)/$J8)</f>
        <v/>
      </c>
      <c r="BG8" s="32" t="str">
        <f aca="false">IF(OR($M8="",$K8="",$K8=0),"",($M8-$K8)/$K8)</f>
        <v/>
      </c>
      <c r="BH8" s="32" t="str">
        <f aca="false">IF(OR($W8="",$N8="",$N8=0),"",($W8-$N8)/$N8)</f>
        <v/>
      </c>
      <c r="BI8" s="33" t="str">
        <f aca="false">IF(OR($O8="",$X8=""),"",$O8-$X8)</f>
        <v/>
      </c>
      <c r="BJ8" s="33" t="str">
        <f aca="false">IF(OR($P8="",$Y8=""),"",$P8-$Y8)</f>
        <v/>
      </c>
      <c r="BK8" s="34" t="str">
        <f aca="false">IF(OR($AN8="",$AO8="",$AN8=0),"",$AO8/$AN8)</f>
        <v/>
      </c>
      <c r="BL8" s="34" t="str">
        <f aca="false">IF(OR($AU8="",$AV8="",$AU8=0),"",$AV8/$AU8)</f>
        <v/>
      </c>
      <c r="BM8" s="7" t="str">
        <f aca="false">IF($Z8="","",IF(AND($Z8="Y",$AB8&lt;&gt;"N",$AC8&lt;&gt;"Y"),"Y","N"))</f>
        <v/>
      </c>
      <c r="BN8" s="7" t="str">
        <f aca="false">IF($AH8="","",IF($Z8&lt;&gt;"Y","undefined",IF($AH8&lt;=1,"Y","N")))</f>
        <v/>
      </c>
      <c r="BO8" s="7" t="str">
        <f aca="false">IF($AH8="","",IF($Z8&lt;&gt;"Y","undefined",IF($AH8&lt;=10,"Y","N")))</f>
        <v/>
      </c>
      <c r="BP8" s="7" t="str">
        <f aca="false">IF($AH8="","",IF($Z8&lt;&gt;"Y","undefined",IF($AH8&lt;=100,"Y","N")))</f>
        <v/>
      </c>
    </row>
    <row r="9" customFormat="false" ht="15" hidden="false" customHeight="false" outlineLevel="0" collapsed="false">
      <c r="A9" s="7" t="str">
        <f aca="false">IF($B9="","",$B9&amp;"|"&amp;$C9&amp;"|"&amp;$F9)</f>
        <v/>
      </c>
      <c r="B9" s="5"/>
      <c r="C9" s="5"/>
      <c r="D9" s="5"/>
      <c r="E9" s="5"/>
      <c r="F9" s="5"/>
      <c r="G9" s="5"/>
      <c r="H9" s="5"/>
      <c r="I9" s="5"/>
      <c r="J9" s="20"/>
      <c r="K9" s="20"/>
      <c r="L9" s="28"/>
      <c r="M9" s="20"/>
      <c r="N9" s="28"/>
      <c r="O9" s="19"/>
      <c r="P9" s="19"/>
      <c r="Q9" s="5"/>
      <c r="R9" s="19"/>
      <c r="S9" s="5"/>
      <c r="T9" s="20"/>
      <c r="U9" s="20"/>
      <c r="V9" s="29"/>
      <c r="W9" s="28"/>
      <c r="X9" s="19"/>
      <c r="Y9" s="19"/>
      <c r="Z9" s="5"/>
      <c r="AA9" s="19"/>
      <c r="AB9" s="5"/>
      <c r="AC9" s="5"/>
      <c r="AD9" s="5"/>
      <c r="AE9" s="5"/>
      <c r="AF9" s="30"/>
      <c r="AG9" s="30"/>
      <c r="AH9" s="30"/>
      <c r="AI9" s="30"/>
      <c r="AJ9" s="30"/>
      <c r="AK9" s="30"/>
      <c r="AL9" s="28"/>
      <c r="AM9" s="5"/>
      <c r="AN9" s="19"/>
      <c r="AO9" s="19"/>
      <c r="AP9" s="5"/>
      <c r="AQ9" s="5"/>
      <c r="AR9" s="5"/>
      <c r="AS9" s="5"/>
      <c r="AT9" s="5"/>
      <c r="AU9" s="19"/>
      <c r="AV9" s="19"/>
      <c r="AW9" s="5"/>
      <c r="AX9" s="5"/>
      <c r="AY9" s="19"/>
      <c r="AZ9" s="30"/>
      <c r="BA9" s="5"/>
      <c r="BB9" s="31" t="str">
        <f aca="false">IF(OR($T9="",$M9=""),"",$T9-$M9)</f>
        <v/>
      </c>
      <c r="BC9" s="32" t="str">
        <f aca="false">IF(OR($T9="",$M9="",$M9=0),"",($T9-$M9)/$M9)</f>
        <v/>
      </c>
      <c r="BD9" s="31" t="str">
        <f aca="false">IF(OR($U9="",$M9=""),"",$U9-$M9)</f>
        <v/>
      </c>
      <c r="BE9" s="32" t="str">
        <f aca="false">IF(OR($U9="",$M9="",$M9=0),"",($U9-$M9)/$M9)</f>
        <v/>
      </c>
      <c r="BF9" s="32" t="str">
        <f aca="false">IF(OR($U9="",$J9="",$J9=0),"",($U9-$J9)/$J9)</f>
        <v/>
      </c>
      <c r="BG9" s="32" t="str">
        <f aca="false">IF(OR($M9="",$K9="",$K9=0),"",($M9-$K9)/$K9)</f>
        <v/>
      </c>
      <c r="BH9" s="32" t="str">
        <f aca="false">IF(OR($W9="",$N9="",$N9=0),"",($W9-$N9)/$N9)</f>
        <v/>
      </c>
      <c r="BI9" s="33" t="str">
        <f aca="false">IF(OR($O9="",$X9=""),"",$O9-$X9)</f>
        <v/>
      </c>
      <c r="BJ9" s="33" t="str">
        <f aca="false">IF(OR($P9="",$Y9=""),"",$P9-$Y9)</f>
        <v/>
      </c>
      <c r="BK9" s="34" t="str">
        <f aca="false">IF(OR($AN9="",$AO9="",$AN9=0),"",$AO9/$AN9)</f>
        <v/>
      </c>
      <c r="BL9" s="34" t="str">
        <f aca="false">IF(OR($AU9="",$AV9="",$AU9=0),"",$AV9/$AU9)</f>
        <v/>
      </c>
      <c r="BM9" s="7" t="str">
        <f aca="false">IF($Z9="","",IF(AND($Z9="Y",$AB9&lt;&gt;"N",$AC9&lt;&gt;"Y"),"Y","N"))</f>
        <v/>
      </c>
      <c r="BN9" s="7" t="str">
        <f aca="false">IF($AH9="","",IF($Z9&lt;&gt;"Y","undefined",IF($AH9&lt;=1,"Y","N")))</f>
        <v/>
      </c>
      <c r="BO9" s="7" t="str">
        <f aca="false">IF($AH9="","",IF($Z9&lt;&gt;"Y","undefined",IF($AH9&lt;=10,"Y","N")))</f>
        <v/>
      </c>
      <c r="BP9" s="7" t="str">
        <f aca="false">IF($AH9="","",IF($Z9&lt;&gt;"Y","undefined",IF($AH9&lt;=100,"Y","N")))</f>
        <v/>
      </c>
    </row>
    <row r="10" customFormat="false" ht="15" hidden="false" customHeight="false" outlineLevel="0" collapsed="false">
      <c r="A10" s="7" t="str">
        <f aca="false">IF($B10="","",$B10&amp;"|"&amp;$C10&amp;"|"&amp;$F10)</f>
        <v/>
      </c>
      <c r="B10" s="5"/>
      <c r="C10" s="5"/>
      <c r="D10" s="5"/>
      <c r="E10" s="5"/>
      <c r="F10" s="5"/>
      <c r="G10" s="5"/>
      <c r="H10" s="5"/>
      <c r="I10" s="5"/>
      <c r="J10" s="20"/>
      <c r="K10" s="20"/>
      <c r="L10" s="28"/>
      <c r="M10" s="20"/>
      <c r="N10" s="28"/>
      <c r="O10" s="19"/>
      <c r="P10" s="19"/>
      <c r="Q10" s="5"/>
      <c r="R10" s="19"/>
      <c r="S10" s="5"/>
      <c r="T10" s="20"/>
      <c r="U10" s="20"/>
      <c r="V10" s="29"/>
      <c r="W10" s="28"/>
      <c r="X10" s="19"/>
      <c r="Y10" s="19"/>
      <c r="Z10" s="5"/>
      <c r="AA10" s="19"/>
      <c r="AB10" s="5"/>
      <c r="AC10" s="5"/>
      <c r="AD10" s="5"/>
      <c r="AE10" s="5"/>
      <c r="AF10" s="30"/>
      <c r="AG10" s="30"/>
      <c r="AH10" s="30"/>
      <c r="AI10" s="30"/>
      <c r="AJ10" s="30"/>
      <c r="AK10" s="30"/>
      <c r="AL10" s="28"/>
      <c r="AM10" s="5"/>
      <c r="AN10" s="19"/>
      <c r="AO10" s="19"/>
      <c r="AP10" s="5"/>
      <c r="AQ10" s="5"/>
      <c r="AR10" s="5"/>
      <c r="AS10" s="5"/>
      <c r="AT10" s="5"/>
      <c r="AU10" s="19"/>
      <c r="AV10" s="19"/>
      <c r="AW10" s="5"/>
      <c r="AX10" s="5"/>
      <c r="AY10" s="19"/>
      <c r="AZ10" s="30"/>
      <c r="BA10" s="5"/>
      <c r="BB10" s="31" t="str">
        <f aca="false">IF(OR($T10="",$M10=""),"",$T10-$M10)</f>
        <v/>
      </c>
      <c r="BC10" s="32" t="str">
        <f aca="false">IF(OR($T10="",$M10="",$M10=0),"",($T10-$M10)/$M10)</f>
        <v/>
      </c>
      <c r="BD10" s="31" t="str">
        <f aca="false">IF(OR($U10="",$M10=""),"",$U10-$M10)</f>
        <v/>
      </c>
      <c r="BE10" s="32" t="str">
        <f aca="false">IF(OR($U10="",$M10="",$M10=0),"",($U10-$M10)/$M10)</f>
        <v/>
      </c>
      <c r="BF10" s="32" t="str">
        <f aca="false">IF(OR($U10="",$J10="",$J10=0),"",($U10-$J10)/$J10)</f>
        <v/>
      </c>
      <c r="BG10" s="32" t="str">
        <f aca="false">IF(OR($M10="",$K10="",$K10=0),"",($M10-$K10)/$K10)</f>
        <v/>
      </c>
      <c r="BH10" s="32" t="str">
        <f aca="false">IF(OR($W10="",$N10="",$N10=0),"",($W10-$N10)/$N10)</f>
        <v/>
      </c>
      <c r="BI10" s="33" t="str">
        <f aca="false">IF(OR($O10="",$X10=""),"",$O10-$X10)</f>
        <v/>
      </c>
      <c r="BJ10" s="33" t="str">
        <f aca="false">IF(OR($P10="",$Y10=""),"",$P10-$Y10)</f>
        <v/>
      </c>
      <c r="BK10" s="34" t="str">
        <f aca="false">IF(OR($AN10="",$AO10="",$AN10=0),"",$AO10/$AN10)</f>
        <v/>
      </c>
      <c r="BL10" s="34" t="str">
        <f aca="false">IF(OR($AU10="",$AV10="",$AU10=0),"",$AV10/$AU10)</f>
        <v/>
      </c>
      <c r="BM10" s="7" t="str">
        <f aca="false">IF($Z10="","",IF(AND($Z10="Y",$AB10&lt;&gt;"N",$AC10&lt;&gt;"Y"),"Y","N"))</f>
        <v/>
      </c>
      <c r="BN10" s="7" t="str">
        <f aca="false">IF($AH10="","",IF($Z10&lt;&gt;"Y","undefined",IF($AH10&lt;=1,"Y","N")))</f>
        <v/>
      </c>
      <c r="BO10" s="7" t="str">
        <f aca="false">IF($AH10="","",IF($Z10&lt;&gt;"Y","undefined",IF($AH10&lt;=10,"Y","N")))</f>
        <v/>
      </c>
      <c r="BP10" s="7" t="str">
        <f aca="false">IF($AH10="","",IF($Z10&lt;&gt;"Y","undefined",IF($AH10&lt;=100,"Y","N")))</f>
        <v/>
      </c>
    </row>
    <row r="11" customFormat="false" ht="15" hidden="false" customHeight="false" outlineLevel="0" collapsed="false">
      <c r="A11" s="7" t="str">
        <f aca="false">IF($B11="","",$B11&amp;"|"&amp;$C11&amp;"|"&amp;$F11)</f>
        <v/>
      </c>
      <c r="B11" s="5"/>
      <c r="C11" s="5"/>
      <c r="D11" s="5"/>
      <c r="E11" s="5"/>
      <c r="F11" s="5"/>
      <c r="G11" s="5"/>
      <c r="H11" s="5"/>
      <c r="I11" s="5"/>
      <c r="J11" s="20"/>
      <c r="K11" s="20"/>
      <c r="L11" s="28"/>
      <c r="M11" s="20"/>
      <c r="N11" s="28"/>
      <c r="O11" s="19"/>
      <c r="P11" s="19"/>
      <c r="Q11" s="5"/>
      <c r="R11" s="19"/>
      <c r="S11" s="5"/>
      <c r="T11" s="20"/>
      <c r="U11" s="20"/>
      <c r="V11" s="29"/>
      <c r="W11" s="28"/>
      <c r="X11" s="19"/>
      <c r="Y11" s="19"/>
      <c r="Z11" s="5"/>
      <c r="AA11" s="19"/>
      <c r="AB11" s="5"/>
      <c r="AC11" s="5"/>
      <c r="AD11" s="5"/>
      <c r="AE11" s="5"/>
      <c r="AF11" s="30"/>
      <c r="AG11" s="30"/>
      <c r="AH11" s="30"/>
      <c r="AI11" s="30"/>
      <c r="AJ11" s="30"/>
      <c r="AK11" s="30"/>
      <c r="AL11" s="28"/>
      <c r="AM11" s="5"/>
      <c r="AN11" s="19"/>
      <c r="AO11" s="19"/>
      <c r="AP11" s="5"/>
      <c r="AQ11" s="5"/>
      <c r="AR11" s="5"/>
      <c r="AS11" s="5"/>
      <c r="AT11" s="5"/>
      <c r="AU11" s="19"/>
      <c r="AV11" s="19"/>
      <c r="AW11" s="5"/>
      <c r="AX11" s="5"/>
      <c r="AY11" s="19"/>
      <c r="AZ11" s="30"/>
      <c r="BA11" s="5"/>
      <c r="BB11" s="31" t="str">
        <f aca="false">IF(OR($T11="",$M11=""),"",$T11-$M11)</f>
        <v/>
      </c>
      <c r="BC11" s="32" t="str">
        <f aca="false">IF(OR($T11="",$M11="",$M11=0),"",($T11-$M11)/$M11)</f>
        <v/>
      </c>
      <c r="BD11" s="31" t="str">
        <f aca="false">IF(OR($U11="",$M11=""),"",$U11-$M11)</f>
        <v/>
      </c>
      <c r="BE11" s="32" t="str">
        <f aca="false">IF(OR($U11="",$M11="",$M11=0),"",($U11-$M11)/$M11)</f>
        <v/>
      </c>
      <c r="BF11" s="32" t="str">
        <f aca="false">IF(OR($U11="",$J11="",$J11=0),"",($U11-$J11)/$J11)</f>
        <v/>
      </c>
      <c r="BG11" s="32" t="str">
        <f aca="false">IF(OR($M11="",$K11="",$K11=0),"",($M11-$K11)/$K11)</f>
        <v/>
      </c>
      <c r="BH11" s="32" t="str">
        <f aca="false">IF(OR($W11="",$N11="",$N11=0),"",($W11-$N11)/$N11)</f>
        <v/>
      </c>
      <c r="BI11" s="33" t="str">
        <f aca="false">IF(OR($O11="",$X11=""),"",$O11-$X11)</f>
        <v/>
      </c>
      <c r="BJ11" s="33" t="str">
        <f aca="false">IF(OR($P11="",$Y11=""),"",$P11-$Y11)</f>
        <v/>
      </c>
      <c r="BK11" s="34" t="str">
        <f aca="false">IF(OR($AN11="",$AO11="",$AN11=0),"",$AO11/$AN11)</f>
        <v/>
      </c>
      <c r="BL11" s="34" t="str">
        <f aca="false">IF(OR($AU11="",$AV11="",$AU11=0),"",$AV11/$AU11)</f>
        <v/>
      </c>
      <c r="BM11" s="7" t="str">
        <f aca="false">IF($Z11="","",IF(AND($Z11="Y",$AB11&lt;&gt;"N",$AC11&lt;&gt;"Y"),"Y","N"))</f>
        <v/>
      </c>
      <c r="BN11" s="7" t="str">
        <f aca="false">IF($AH11="","",IF($Z11&lt;&gt;"Y","undefined",IF($AH11&lt;=1,"Y","N")))</f>
        <v/>
      </c>
      <c r="BO11" s="7" t="str">
        <f aca="false">IF($AH11="","",IF($Z11&lt;&gt;"Y","undefined",IF($AH11&lt;=10,"Y","N")))</f>
        <v/>
      </c>
      <c r="BP11" s="7" t="str">
        <f aca="false">IF($AH11="","",IF($Z11&lt;&gt;"Y","undefined",IF($AH11&lt;=100,"Y","N")))</f>
        <v/>
      </c>
    </row>
    <row r="12" customFormat="false" ht="15" hidden="false" customHeight="false" outlineLevel="0" collapsed="false">
      <c r="A12" s="7" t="str">
        <f aca="false">IF($B12="","",$B12&amp;"|"&amp;$C12&amp;"|"&amp;$F12)</f>
        <v/>
      </c>
      <c r="B12" s="5"/>
      <c r="C12" s="5"/>
      <c r="D12" s="5"/>
      <c r="E12" s="5"/>
      <c r="F12" s="5"/>
      <c r="G12" s="5"/>
      <c r="H12" s="5"/>
      <c r="I12" s="5"/>
      <c r="J12" s="20"/>
      <c r="K12" s="20"/>
      <c r="L12" s="28"/>
      <c r="M12" s="20"/>
      <c r="N12" s="28"/>
      <c r="O12" s="19"/>
      <c r="P12" s="19"/>
      <c r="Q12" s="5"/>
      <c r="R12" s="19"/>
      <c r="S12" s="5"/>
      <c r="T12" s="20"/>
      <c r="U12" s="20"/>
      <c r="V12" s="29"/>
      <c r="W12" s="28"/>
      <c r="X12" s="19"/>
      <c r="Y12" s="19"/>
      <c r="Z12" s="5"/>
      <c r="AA12" s="19"/>
      <c r="AB12" s="5"/>
      <c r="AC12" s="5"/>
      <c r="AD12" s="5"/>
      <c r="AE12" s="5"/>
      <c r="AF12" s="30"/>
      <c r="AG12" s="30"/>
      <c r="AH12" s="30"/>
      <c r="AI12" s="30"/>
      <c r="AJ12" s="30"/>
      <c r="AK12" s="30"/>
      <c r="AL12" s="28"/>
      <c r="AM12" s="5"/>
      <c r="AN12" s="19"/>
      <c r="AO12" s="19"/>
      <c r="AP12" s="5"/>
      <c r="AQ12" s="5"/>
      <c r="AR12" s="5"/>
      <c r="AS12" s="5"/>
      <c r="AT12" s="5"/>
      <c r="AU12" s="19"/>
      <c r="AV12" s="19"/>
      <c r="AW12" s="5"/>
      <c r="AX12" s="5"/>
      <c r="AY12" s="19"/>
      <c r="AZ12" s="30"/>
      <c r="BA12" s="5"/>
      <c r="BB12" s="31" t="str">
        <f aca="false">IF(OR($T12="",$M12=""),"",$T12-$M12)</f>
        <v/>
      </c>
      <c r="BC12" s="32" t="str">
        <f aca="false">IF(OR($T12="",$M12="",$M12=0),"",($T12-$M12)/$M12)</f>
        <v/>
      </c>
      <c r="BD12" s="31" t="str">
        <f aca="false">IF(OR($U12="",$M12=""),"",$U12-$M12)</f>
        <v/>
      </c>
      <c r="BE12" s="32" t="str">
        <f aca="false">IF(OR($U12="",$M12="",$M12=0),"",($U12-$M12)/$M12)</f>
        <v/>
      </c>
      <c r="BF12" s="32" t="str">
        <f aca="false">IF(OR($U12="",$J12="",$J12=0),"",($U12-$J12)/$J12)</f>
        <v/>
      </c>
      <c r="BG12" s="32" t="str">
        <f aca="false">IF(OR($M12="",$K12="",$K12=0),"",($M12-$K12)/$K12)</f>
        <v/>
      </c>
      <c r="BH12" s="32" t="str">
        <f aca="false">IF(OR($W12="",$N12="",$N12=0),"",($W12-$N12)/$N12)</f>
        <v/>
      </c>
      <c r="BI12" s="33" t="str">
        <f aca="false">IF(OR($O12="",$X12=""),"",$O12-$X12)</f>
        <v/>
      </c>
      <c r="BJ12" s="33" t="str">
        <f aca="false">IF(OR($P12="",$Y12=""),"",$P12-$Y12)</f>
        <v/>
      </c>
      <c r="BK12" s="34" t="str">
        <f aca="false">IF(OR($AN12="",$AO12="",$AN12=0),"",$AO12/$AN12)</f>
        <v/>
      </c>
      <c r="BL12" s="34" t="str">
        <f aca="false">IF(OR($AU12="",$AV12="",$AU12=0),"",$AV12/$AU12)</f>
        <v/>
      </c>
      <c r="BM12" s="7" t="str">
        <f aca="false">IF($Z12="","",IF(AND($Z12="Y",$AB12&lt;&gt;"N",$AC12&lt;&gt;"Y"),"Y","N"))</f>
        <v/>
      </c>
      <c r="BN12" s="7" t="str">
        <f aca="false">IF($AH12="","",IF($Z12&lt;&gt;"Y","undefined",IF($AH12&lt;=1,"Y","N")))</f>
        <v/>
      </c>
      <c r="BO12" s="7" t="str">
        <f aca="false">IF($AH12="","",IF($Z12&lt;&gt;"Y","undefined",IF($AH12&lt;=10,"Y","N")))</f>
        <v/>
      </c>
      <c r="BP12" s="7" t="str">
        <f aca="false">IF($AH12="","",IF($Z12&lt;&gt;"Y","undefined",IF($AH12&lt;=100,"Y","N")))</f>
        <v/>
      </c>
    </row>
    <row r="13" customFormat="false" ht="15" hidden="false" customHeight="false" outlineLevel="0" collapsed="false">
      <c r="A13" s="7" t="str">
        <f aca="false">IF($B13="","",$B13&amp;"|"&amp;$C13&amp;"|"&amp;$F13)</f>
        <v/>
      </c>
      <c r="B13" s="5"/>
      <c r="C13" s="5"/>
      <c r="D13" s="5"/>
      <c r="E13" s="5"/>
      <c r="F13" s="5"/>
      <c r="G13" s="5"/>
      <c r="H13" s="5"/>
      <c r="I13" s="5"/>
      <c r="J13" s="20"/>
      <c r="K13" s="20"/>
      <c r="L13" s="28"/>
      <c r="M13" s="20"/>
      <c r="N13" s="28"/>
      <c r="O13" s="19"/>
      <c r="P13" s="19"/>
      <c r="Q13" s="5"/>
      <c r="R13" s="19"/>
      <c r="S13" s="5"/>
      <c r="T13" s="20"/>
      <c r="U13" s="20"/>
      <c r="V13" s="29"/>
      <c r="W13" s="28"/>
      <c r="X13" s="19"/>
      <c r="Y13" s="19"/>
      <c r="Z13" s="5"/>
      <c r="AA13" s="19"/>
      <c r="AB13" s="5"/>
      <c r="AC13" s="5"/>
      <c r="AD13" s="5"/>
      <c r="AE13" s="5"/>
      <c r="AF13" s="30"/>
      <c r="AG13" s="30"/>
      <c r="AH13" s="30"/>
      <c r="AI13" s="30"/>
      <c r="AJ13" s="30"/>
      <c r="AK13" s="30"/>
      <c r="AL13" s="28"/>
      <c r="AM13" s="5"/>
      <c r="AN13" s="19"/>
      <c r="AO13" s="19"/>
      <c r="AP13" s="5"/>
      <c r="AQ13" s="5"/>
      <c r="AR13" s="5"/>
      <c r="AS13" s="5"/>
      <c r="AT13" s="5"/>
      <c r="AU13" s="19"/>
      <c r="AV13" s="19"/>
      <c r="AW13" s="5"/>
      <c r="AX13" s="5"/>
      <c r="AY13" s="19"/>
      <c r="AZ13" s="30"/>
      <c r="BA13" s="5"/>
      <c r="BB13" s="31" t="str">
        <f aca="false">IF(OR($T13="",$M13=""),"",$T13-$M13)</f>
        <v/>
      </c>
      <c r="BC13" s="32" t="str">
        <f aca="false">IF(OR($T13="",$M13="",$M13=0),"",($T13-$M13)/$M13)</f>
        <v/>
      </c>
      <c r="BD13" s="31" t="str">
        <f aca="false">IF(OR($U13="",$M13=""),"",$U13-$M13)</f>
        <v/>
      </c>
      <c r="BE13" s="32" t="str">
        <f aca="false">IF(OR($U13="",$M13="",$M13=0),"",($U13-$M13)/$M13)</f>
        <v/>
      </c>
      <c r="BF13" s="32" t="str">
        <f aca="false">IF(OR($U13="",$J13="",$J13=0),"",($U13-$J13)/$J13)</f>
        <v/>
      </c>
      <c r="BG13" s="32" t="str">
        <f aca="false">IF(OR($M13="",$K13="",$K13=0),"",($M13-$K13)/$K13)</f>
        <v/>
      </c>
      <c r="BH13" s="32" t="str">
        <f aca="false">IF(OR($W13="",$N13="",$N13=0),"",($W13-$N13)/$N13)</f>
        <v/>
      </c>
      <c r="BI13" s="33" t="str">
        <f aca="false">IF(OR($O13="",$X13=""),"",$O13-$X13)</f>
        <v/>
      </c>
      <c r="BJ13" s="33" t="str">
        <f aca="false">IF(OR($P13="",$Y13=""),"",$P13-$Y13)</f>
        <v/>
      </c>
      <c r="BK13" s="34" t="str">
        <f aca="false">IF(OR($AN13="",$AO13="",$AN13=0),"",$AO13/$AN13)</f>
        <v/>
      </c>
      <c r="BL13" s="34" t="str">
        <f aca="false">IF(OR($AU13="",$AV13="",$AU13=0),"",$AV13/$AU13)</f>
        <v/>
      </c>
      <c r="BM13" s="7" t="str">
        <f aca="false">IF($Z13="","",IF(AND($Z13="Y",$AB13&lt;&gt;"N",$AC13&lt;&gt;"Y"),"Y","N"))</f>
        <v/>
      </c>
      <c r="BN13" s="7" t="str">
        <f aca="false">IF($AH13="","",IF($Z13&lt;&gt;"Y","undefined",IF($AH13&lt;=1,"Y","N")))</f>
        <v/>
      </c>
      <c r="BO13" s="7" t="str">
        <f aca="false">IF($AH13="","",IF($Z13&lt;&gt;"Y","undefined",IF($AH13&lt;=10,"Y","N")))</f>
        <v/>
      </c>
      <c r="BP13" s="7" t="str">
        <f aca="false">IF($AH13="","",IF($Z13&lt;&gt;"Y","undefined",IF($AH13&lt;=100,"Y","N")))</f>
        <v/>
      </c>
    </row>
    <row r="14" customFormat="false" ht="15" hidden="false" customHeight="false" outlineLevel="0" collapsed="false">
      <c r="A14" s="7" t="str">
        <f aca="false">IF($B14="","",$B14&amp;"|"&amp;$C14&amp;"|"&amp;$F14)</f>
        <v/>
      </c>
      <c r="B14" s="5"/>
      <c r="C14" s="5"/>
      <c r="D14" s="5"/>
      <c r="E14" s="5"/>
      <c r="F14" s="5"/>
      <c r="G14" s="5"/>
      <c r="H14" s="5"/>
      <c r="I14" s="5"/>
      <c r="J14" s="20"/>
      <c r="K14" s="20"/>
      <c r="L14" s="28"/>
      <c r="M14" s="20"/>
      <c r="N14" s="28"/>
      <c r="O14" s="19"/>
      <c r="P14" s="19"/>
      <c r="Q14" s="5"/>
      <c r="R14" s="19"/>
      <c r="S14" s="5"/>
      <c r="T14" s="20"/>
      <c r="U14" s="20"/>
      <c r="V14" s="29"/>
      <c r="W14" s="28"/>
      <c r="X14" s="19"/>
      <c r="Y14" s="19"/>
      <c r="Z14" s="5"/>
      <c r="AA14" s="19"/>
      <c r="AB14" s="5"/>
      <c r="AC14" s="5"/>
      <c r="AD14" s="5"/>
      <c r="AE14" s="5"/>
      <c r="AF14" s="30"/>
      <c r="AG14" s="30"/>
      <c r="AH14" s="30"/>
      <c r="AI14" s="30"/>
      <c r="AJ14" s="30"/>
      <c r="AK14" s="30"/>
      <c r="AL14" s="28"/>
      <c r="AM14" s="5"/>
      <c r="AN14" s="19"/>
      <c r="AO14" s="19"/>
      <c r="AP14" s="5"/>
      <c r="AQ14" s="5"/>
      <c r="AR14" s="5"/>
      <c r="AS14" s="5"/>
      <c r="AT14" s="5"/>
      <c r="AU14" s="19"/>
      <c r="AV14" s="19"/>
      <c r="AW14" s="5"/>
      <c r="AX14" s="5"/>
      <c r="AY14" s="19"/>
      <c r="AZ14" s="30"/>
      <c r="BA14" s="5"/>
      <c r="BB14" s="31" t="str">
        <f aca="false">IF(OR($T14="",$M14=""),"",$T14-$M14)</f>
        <v/>
      </c>
      <c r="BC14" s="32" t="str">
        <f aca="false">IF(OR($T14="",$M14="",$M14=0),"",($T14-$M14)/$M14)</f>
        <v/>
      </c>
      <c r="BD14" s="31" t="str">
        <f aca="false">IF(OR($U14="",$M14=""),"",$U14-$M14)</f>
        <v/>
      </c>
      <c r="BE14" s="32" t="str">
        <f aca="false">IF(OR($U14="",$M14="",$M14=0),"",($U14-$M14)/$M14)</f>
        <v/>
      </c>
      <c r="BF14" s="32" t="str">
        <f aca="false">IF(OR($U14="",$J14="",$J14=0),"",($U14-$J14)/$J14)</f>
        <v/>
      </c>
      <c r="BG14" s="32" t="str">
        <f aca="false">IF(OR($M14="",$K14="",$K14=0),"",($M14-$K14)/$K14)</f>
        <v/>
      </c>
      <c r="BH14" s="32" t="str">
        <f aca="false">IF(OR($W14="",$N14="",$N14=0),"",($W14-$N14)/$N14)</f>
        <v/>
      </c>
      <c r="BI14" s="33" t="str">
        <f aca="false">IF(OR($O14="",$X14=""),"",$O14-$X14)</f>
        <v/>
      </c>
      <c r="BJ14" s="33" t="str">
        <f aca="false">IF(OR($P14="",$Y14=""),"",$P14-$Y14)</f>
        <v/>
      </c>
      <c r="BK14" s="34" t="str">
        <f aca="false">IF(OR($AN14="",$AO14="",$AN14=0),"",$AO14/$AN14)</f>
        <v/>
      </c>
      <c r="BL14" s="34" t="str">
        <f aca="false">IF(OR($AU14="",$AV14="",$AU14=0),"",$AV14/$AU14)</f>
        <v/>
      </c>
      <c r="BM14" s="7" t="str">
        <f aca="false">IF($Z14="","",IF(AND($Z14="Y",$AB14&lt;&gt;"N",$AC14&lt;&gt;"Y"),"Y","N"))</f>
        <v/>
      </c>
      <c r="BN14" s="7" t="str">
        <f aca="false">IF($AH14="","",IF($Z14&lt;&gt;"Y","undefined",IF($AH14&lt;=1,"Y","N")))</f>
        <v/>
      </c>
      <c r="BO14" s="7" t="str">
        <f aca="false">IF($AH14="","",IF($Z14&lt;&gt;"Y","undefined",IF($AH14&lt;=10,"Y","N")))</f>
        <v/>
      </c>
      <c r="BP14" s="7" t="str">
        <f aca="false">IF($AH14="","",IF($Z14&lt;&gt;"Y","undefined",IF($AH14&lt;=100,"Y","N")))</f>
        <v/>
      </c>
    </row>
    <row r="15" customFormat="false" ht="15" hidden="false" customHeight="false" outlineLevel="0" collapsed="false">
      <c r="A15" s="7" t="str">
        <f aca="false">IF($B15="","",$B15&amp;"|"&amp;$C15&amp;"|"&amp;$F15)</f>
        <v/>
      </c>
      <c r="B15" s="5"/>
      <c r="C15" s="5"/>
      <c r="D15" s="5"/>
      <c r="E15" s="5"/>
      <c r="F15" s="5"/>
      <c r="G15" s="5"/>
      <c r="H15" s="5"/>
      <c r="I15" s="5"/>
      <c r="J15" s="20"/>
      <c r="K15" s="20"/>
      <c r="L15" s="28"/>
      <c r="M15" s="20"/>
      <c r="N15" s="28"/>
      <c r="O15" s="19"/>
      <c r="P15" s="19"/>
      <c r="Q15" s="5"/>
      <c r="R15" s="19"/>
      <c r="S15" s="5"/>
      <c r="T15" s="20"/>
      <c r="U15" s="20"/>
      <c r="V15" s="29"/>
      <c r="W15" s="28"/>
      <c r="X15" s="19"/>
      <c r="Y15" s="19"/>
      <c r="Z15" s="5"/>
      <c r="AA15" s="19"/>
      <c r="AB15" s="5"/>
      <c r="AC15" s="5"/>
      <c r="AD15" s="5"/>
      <c r="AE15" s="5"/>
      <c r="AF15" s="30"/>
      <c r="AG15" s="30"/>
      <c r="AH15" s="30"/>
      <c r="AI15" s="30"/>
      <c r="AJ15" s="30"/>
      <c r="AK15" s="30"/>
      <c r="AL15" s="28"/>
      <c r="AM15" s="5"/>
      <c r="AN15" s="19"/>
      <c r="AO15" s="19"/>
      <c r="AP15" s="5"/>
      <c r="AQ15" s="5"/>
      <c r="AR15" s="5"/>
      <c r="AS15" s="5"/>
      <c r="AT15" s="5"/>
      <c r="AU15" s="19"/>
      <c r="AV15" s="19"/>
      <c r="AW15" s="5"/>
      <c r="AX15" s="5"/>
      <c r="AY15" s="19"/>
      <c r="AZ15" s="30"/>
      <c r="BA15" s="5"/>
      <c r="BB15" s="31" t="str">
        <f aca="false">IF(OR($T15="",$M15=""),"",$T15-$M15)</f>
        <v/>
      </c>
      <c r="BC15" s="32" t="str">
        <f aca="false">IF(OR($T15="",$M15="",$M15=0),"",($T15-$M15)/$M15)</f>
        <v/>
      </c>
      <c r="BD15" s="31" t="str">
        <f aca="false">IF(OR($U15="",$M15=""),"",$U15-$M15)</f>
        <v/>
      </c>
      <c r="BE15" s="32" t="str">
        <f aca="false">IF(OR($U15="",$M15="",$M15=0),"",($U15-$M15)/$M15)</f>
        <v/>
      </c>
      <c r="BF15" s="32" t="str">
        <f aca="false">IF(OR($U15="",$J15="",$J15=0),"",($U15-$J15)/$J15)</f>
        <v/>
      </c>
      <c r="BG15" s="32" t="str">
        <f aca="false">IF(OR($M15="",$K15="",$K15=0),"",($M15-$K15)/$K15)</f>
        <v/>
      </c>
      <c r="BH15" s="32" t="str">
        <f aca="false">IF(OR($W15="",$N15="",$N15=0),"",($W15-$N15)/$N15)</f>
        <v/>
      </c>
      <c r="BI15" s="33" t="str">
        <f aca="false">IF(OR($O15="",$X15=""),"",$O15-$X15)</f>
        <v/>
      </c>
      <c r="BJ15" s="33" t="str">
        <f aca="false">IF(OR($P15="",$Y15=""),"",$P15-$Y15)</f>
        <v/>
      </c>
      <c r="BK15" s="34" t="str">
        <f aca="false">IF(OR($AN15="",$AO15="",$AN15=0),"",$AO15/$AN15)</f>
        <v/>
      </c>
      <c r="BL15" s="34" t="str">
        <f aca="false">IF(OR($AU15="",$AV15="",$AU15=0),"",$AV15/$AU15)</f>
        <v/>
      </c>
      <c r="BM15" s="7" t="str">
        <f aca="false">IF($Z15="","",IF(AND($Z15="Y",$AB15&lt;&gt;"N",$AC15&lt;&gt;"Y"),"Y","N"))</f>
        <v/>
      </c>
      <c r="BN15" s="7" t="str">
        <f aca="false">IF($AH15="","",IF($Z15&lt;&gt;"Y","undefined",IF($AH15&lt;=1,"Y","N")))</f>
        <v/>
      </c>
      <c r="BO15" s="7" t="str">
        <f aca="false">IF($AH15="","",IF($Z15&lt;&gt;"Y","undefined",IF($AH15&lt;=10,"Y","N")))</f>
        <v/>
      </c>
      <c r="BP15" s="7" t="str">
        <f aca="false">IF($AH15="","",IF($Z15&lt;&gt;"Y","undefined",IF($AH15&lt;=100,"Y","N")))</f>
        <v/>
      </c>
    </row>
    <row r="16" customFormat="false" ht="15" hidden="false" customHeight="false" outlineLevel="0" collapsed="false">
      <c r="A16" s="7" t="str">
        <f aca="false">IF($B16="","",$B16&amp;"|"&amp;$C16&amp;"|"&amp;$F16)</f>
        <v/>
      </c>
      <c r="B16" s="5"/>
      <c r="C16" s="5"/>
      <c r="D16" s="5"/>
      <c r="E16" s="5"/>
      <c r="F16" s="5"/>
      <c r="G16" s="5"/>
      <c r="H16" s="5"/>
      <c r="I16" s="5"/>
      <c r="J16" s="20"/>
      <c r="K16" s="20"/>
      <c r="L16" s="28"/>
      <c r="M16" s="20"/>
      <c r="N16" s="28"/>
      <c r="O16" s="19"/>
      <c r="P16" s="19"/>
      <c r="Q16" s="5"/>
      <c r="R16" s="19"/>
      <c r="S16" s="5"/>
      <c r="T16" s="20"/>
      <c r="U16" s="20"/>
      <c r="V16" s="29"/>
      <c r="W16" s="28"/>
      <c r="X16" s="19"/>
      <c r="Y16" s="19"/>
      <c r="Z16" s="5"/>
      <c r="AA16" s="19"/>
      <c r="AB16" s="5"/>
      <c r="AC16" s="5"/>
      <c r="AD16" s="5"/>
      <c r="AE16" s="5"/>
      <c r="AF16" s="30"/>
      <c r="AG16" s="30"/>
      <c r="AH16" s="30"/>
      <c r="AI16" s="30"/>
      <c r="AJ16" s="30"/>
      <c r="AK16" s="30"/>
      <c r="AL16" s="28"/>
      <c r="AM16" s="5"/>
      <c r="AN16" s="19"/>
      <c r="AO16" s="19"/>
      <c r="AP16" s="5"/>
      <c r="AQ16" s="5"/>
      <c r="AR16" s="5"/>
      <c r="AS16" s="5"/>
      <c r="AT16" s="5"/>
      <c r="AU16" s="19"/>
      <c r="AV16" s="19"/>
      <c r="AW16" s="5"/>
      <c r="AX16" s="5"/>
      <c r="AY16" s="19"/>
      <c r="AZ16" s="30"/>
      <c r="BA16" s="5"/>
      <c r="BB16" s="31" t="str">
        <f aca="false">IF(OR($T16="",$M16=""),"",$T16-$M16)</f>
        <v/>
      </c>
      <c r="BC16" s="32" t="str">
        <f aca="false">IF(OR($T16="",$M16="",$M16=0),"",($T16-$M16)/$M16)</f>
        <v/>
      </c>
      <c r="BD16" s="31" t="str">
        <f aca="false">IF(OR($U16="",$M16=""),"",$U16-$M16)</f>
        <v/>
      </c>
      <c r="BE16" s="32" t="str">
        <f aca="false">IF(OR($U16="",$M16="",$M16=0),"",($U16-$M16)/$M16)</f>
        <v/>
      </c>
      <c r="BF16" s="32" t="str">
        <f aca="false">IF(OR($U16="",$J16="",$J16=0),"",($U16-$J16)/$J16)</f>
        <v/>
      </c>
      <c r="BG16" s="32" t="str">
        <f aca="false">IF(OR($M16="",$K16="",$K16=0),"",($M16-$K16)/$K16)</f>
        <v/>
      </c>
      <c r="BH16" s="32" t="str">
        <f aca="false">IF(OR($W16="",$N16="",$N16=0),"",($W16-$N16)/$N16)</f>
        <v/>
      </c>
      <c r="BI16" s="33" t="str">
        <f aca="false">IF(OR($O16="",$X16=""),"",$O16-$X16)</f>
        <v/>
      </c>
      <c r="BJ16" s="33" t="str">
        <f aca="false">IF(OR($P16="",$Y16=""),"",$P16-$Y16)</f>
        <v/>
      </c>
      <c r="BK16" s="34" t="str">
        <f aca="false">IF(OR($AN16="",$AO16="",$AN16=0),"",$AO16/$AN16)</f>
        <v/>
      </c>
      <c r="BL16" s="34" t="str">
        <f aca="false">IF(OR($AU16="",$AV16="",$AU16=0),"",$AV16/$AU16)</f>
        <v/>
      </c>
      <c r="BM16" s="7" t="str">
        <f aca="false">IF($Z16="","",IF(AND($Z16="Y",$AB16&lt;&gt;"N",$AC16&lt;&gt;"Y"),"Y","N"))</f>
        <v/>
      </c>
      <c r="BN16" s="7" t="str">
        <f aca="false">IF($AH16="","",IF($Z16&lt;&gt;"Y","undefined",IF($AH16&lt;=1,"Y","N")))</f>
        <v/>
      </c>
      <c r="BO16" s="7" t="str">
        <f aca="false">IF($AH16="","",IF($Z16&lt;&gt;"Y","undefined",IF($AH16&lt;=10,"Y","N")))</f>
        <v/>
      </c>
      <c r="BP16" s="7" t="str">
        <f aca="false">IF($AH16="","",IF($Z16&lt;&gt;"Y","undefined",IF($AH16&lt;=100,"Y","N")))</f>
        <v/>
      </c>
    </row>
    <row r="17" customFormat="false" ht="15" hidden="false" customHeight="false" outlineLevel="0" collapsed="false">
      <c r="A17" s="7" t="str">
        <f aca="false">IF($B17="","",$B17&amp;"|"&amp;$C17&amp;"|"&amp;$F17)</f>
        <v/>
      </c>
      <c r="B17" s="5"/>
      <c r="C17" s="5"/>
      <c r="D17" s="5"/>
      <c r="E17" s="5"/>
      <c r="F17" s="5"/>
      <c r="G17" s="5"/>
      <c r="H17" s="5"/>
      <c r="I17" s="5"/>
      <c r="J17" s="20"/>
      <c r="K17" s="20"/>
      <c r="L17" s="28"/>
      <c r="M17" s="20"/>
      <c r="N17" s="28"/>
      <c r="O17" s="19"/>
      <c r="P17" s="19"/>
      <c r="Q17" s="5"/>
      <c r="R17" s="19"/>
      <c r="S17" s="5"/>
      <c r="T17" s="20"/>
      <c r="U17" s="20"/>
      <c r="V17" s="29"/>
      <c r="W17" s="28"/>
      <c r="X17" s="19"/>
      <c r="Y17" s="19"/>
      <c r="Z17" s="5"/>
      <c r="AA17" s="19"/>
      <c r="AB17" s="5"/>
      <c r="AC17" s="5"/>
      <c r="AD17" s="5"/>
      <c r="AE17" s="5"/>
      <c r="AF17" s="30"/>
      <c r="AG17" s="30"/>
      <c r="AH17" s="30"/>
      <c r="AI17" s="30"/>
      <c r="AJ17" s="30"/>
      <c r="AK17" s="30"/>
      <c r="AL17" s="28"/>
      <c r="AM17" s="5"/>
      <c r="AN17" s="19"/>
      <c r="AO17" s="19"/>
      <c r="AP17" s="5"/>
      <c r="AQ17" s="5"/>
      <c r="AR17" s="5"/>
      <c r="AS17" s="5"/>
      <c r="AT17" s="5"/>
      <c r="AU17" s="19"/>
      <c r="AV17" s="19"/>
      <c r="AW17" s="5"/>
      <c r="AX17" s="5"/>
      <c r="AY17" s="19"/>
      <c r="AZ17" s="30"/>
      <c r="BA17" s="5"/>
      <c r="BB17" s="31" t="str">
        <f aca="false">IF(OR($T17="",$M17=""),"",$T17-$M17)</f>
        <v/>
      </c>
      <c r="BC17" s="32" t="str">
        <f aca="false">IF(OR($T17="",$M17="",$M17=0),"",($T17-$M17)/$M17)</f>
        <v/>
      </c>
      <c r="BD17" s="31" t="str">
        <f aca="false">IF(OR($U17="",$M17=""),"",$U17-$M17)</f>
        <v/>
      </c>
      <c r="BE17" s="32" t="str">
        <f aca="false">IF(OR($U17="",$M17="",$M17=0),"",($U17-$M17)/$M17)</f>
        <v/>
      </c>
      <c r="BF17" s="32" t="str">
        <f aca="false">IF(OR($U17="",$J17="",$J17=0),"",($U17-$J17)/$J17)</f>
        <v/>
      </c>
      <c r="BG17" s="32" t="str">
        <f aca="false">IF(OR($M17="",$K17="",$K17=0),"",($M17-$K17)/$K17)</f>
        <v/>
      </c>
      <c r="BH17" s="32" t="str">
        <f aca="false">IF(OR($W17="",$N17="",$N17=0),"",($W17-$N17)/$N17)</f>
        <v/>
      </c>
      <c r="BI17" s="33" t="str">
        <f aca="false">IF(OR($O17="",$X17=""),"",$O17-$X17)</f>
        <v/>
      </c>
      <c r="BJ17" s="33" t="str">
        <f aca="false">IF(OR($P17="",$Y17=""),"",$P17-$Y17)</f>
        <v/>
      </c>
      <c r="BK17" s="34" t="str">
        <f aca="false">IF(OR($AN17="",$AO17="",$AN17=0),"",$AO17/$AN17)</f>
        <v/>
      </c>
      <c r="BL17" s="34" t="str">
        <f aca="false">IF(OR($AU17="",$AV17="",$AU17=0),"",$AV17/$AU17)</f>
        <v/>
      </c>
      <c r="BM17" s="7" t="str">
        <f aca="false">IF($Z17="","",IF(AND($Z17="Y",$AB17&lt;&gt;"N",$AC17&lt;&gt;"Y"),"Y","N"))</f>
        <v/>
      </c>
      <c r="BN17" s="7" t="str">
        <f aca="false">IF($AH17="","",IF($Z17&lt;&gt;"Y","undefined",IF($AH17&lt;=1,"Y","N")))</f>
        <v/>
      </c>
      <c r="BO17" s="7" t="str">
        <f aca="false">IF($AH17="","",IF($Z17&lt;&gt;"Y","undefined",IF($AH17&lt;=10,"Y","N")))</f>
        <v/>
      </c>
      <c r="BP17" s="7" t="str">
        <f aca="false">IF($AH17="","",IF($Z17&lt;&gt;"Y","undefined",IF($AH17&lt;=100,"Y","N")))</f>
        <v/>
      </c>
    </row>
    <row r="18" customFormat="false" ht="15" hidden="false" customHeight="false" outlineLevel="0" collapsed="false">
      <c r="A18" s="7" t="str">
        <f aca="false">IF($B18="","",$B18&amp;"|"&amp;$C18&amp;"|"&amp;$F18)</f>
        <v/>
      </c>
      <c r="B18" s="5"/>
      <c r="C18" s="5"/>
      <c r="D18" s="5"/>
      <c r="E18" s="5"/>
      <c r="F18" s="5"/>
      <c r="G18" s="5"/>
      <c r="H18" s="5"/>
      <c r="I18" s="5"/>
      <c r="J18" s="20"/>
      <c r="K18" s="20"/>
      <c r="L18" s="28"/>
      <c r="M18" s="20"/>
      <c r="N18" s="28"/>
      <c r="O18" s="19"/>
      <c r="P18" s="19"/>
      <c r="Q18" s="5"/>
      <c r="R18" s="19"/>
      <c r="S18" s="5"/>
      <c r="T18" s="20"/>
      <c r="U18" s="20"/>
      <c r="V18" s="29"/>
      <c r="W18" s="28"/>
      <c r="X18" s="19"/>
      <c r="Y18" s="19"/>
      <c r="Z18" s="5"/>
      <c r="AA18" s="19"/>
      <c r="AB18" s="5"/>
      <c r="AC18" s="5"/>
      <c r="AD18" s="5"/>
      <c r="AE18" s="5"/>
      <c r="AF18" s="30"/>
      <c r="AG18" s="30"/>
      <c r="AH18" s="30"/>
      <c r="AI18" s="30"/>
      <c r="AJ18" s="30"/>
      <c r="AK18" s="30"/>
      <c r="AL18" s="28"/>
      <c r="AM18" s="5"/>
      <c r="AN18" s="19"/>
      <c r="AO18" s="19"/>
      <c r="AP18" s="5"/>
      <c r="AQ18" s="5"/>
      <c r="AR18" s="5"/>
      <c r="AS18" s="5"/>
      <c r="AT18" s="5"/>
      <c r="AU18" s="19"/>
      <c r="AV18" s="19"/>
      <c r="AW18" s="5"/>
      <c r="AX18" s="5"/>
      <c r="AY18" s="19"/>
      <c r="AZ18" s="30"/>
      <c r="BA18" s="5"/>
      <c r="BB18" s="31" t="str">
        <f aca="false">IF(OR($T18="",$M18=""),"",$T18-$M18)</f>
        <v/>
      </c>
      <c r="BC18" s="32" t="str">
        <f aca="false">IF(OR($T18="",$M18="",$M18=0),"",($T18-$M18)/$M18)</f>
        <v/>
      </c>
      <c r="BD18" s="31" t="str">
        <f aca="false">IF(OR($U18="",$M18=""),"",$U18-$M18)</f>
        <v/>
      </c>
      <c r="BE18" s="32" t="str">
        <f aca="false">IF(OR($U18="",$M18="",$M18=0),"",($U18-$M18)/$M18)</f>
        <v/>
      </c>
      <c r="BF18" s="32" t="str">
        <f aca="false">IF(OR($U18="",$J18="",$J18=0),"",($U18-$J18)/$J18)</f>
        <v/>
      </c>
      <c r="BG18" s="32" t="str">
        <f aca="false">IF(OR($M18="",$K18="",$K18=0),"",($M18-$K18)/$K18)</f>
        <v/>
      </c>
      <c r="BH18" s="32" t="str">
        <f aca="false">IF(OR($W18="",$N18="",$N18=0),"",($W18-$N18)/$N18)</f>
        <v/>
      </c>
      <c r="BI18" s="33" t="str">
        <f aca="false">IF(OR($O18="",$X18=""),"",$O18-$X18)</f>
        <v/>
      </c>
      <c r="BJ18" s="33" t="str">
        <f aca="false">IF(OR($P18="",$Y18=""),"",$P18-$Y18)</f>
        <v/>
      </c>
      <c r="BK18" s="34" t="str">
        <f aca="false">IF(OR($AN18="",$AO18="",$AN18=0),"",$AO18/$AN18)</f>
        <v/>
      </c>
      <c r="BL18" s="34" t="str">
        <f aca="false">IF(OR($AU18="",$AV18="",$AU18=0),"",$AV18/$AU18)</f>
        <v/>
      </c>
      <c r="BM18" s="7" t="str">
        <f aca="false">IF($Z18="","",IF(AND($Z18="Y",$AB18&lt;&gt;"N",$AC18&lt;&gt;"Y"),"Y","N"))</f>
        <v/>
      </c>
      <c r="BN18" s="7" t="str">
        <f aca="false">IF($AH18="","",IF($Z18&lt;&gt;"Y","undefined",IF($AH18&lt;=1,"Y","N")))</f>
        <v/>
      </c>
      <c r="BO18" s="7" t="str">
        <f aca="false">IF($AH18="","",IF($Z18&lt;&gt;"Y","undefined",IF($AH18&lt;=10,"Y","N")))</f>
        <v/>
      </c>
      <c r="BP18" s="7" t="str">
        <f aca="false">IF($AH18="","",IF($Z18&lt;&gt;"Y","undefined",IF($AH18&lt;=100,"Y","N")))</f>
        <v/>
      </c>
    </row>
    <row r="19" customFormat="false" ht="15" hidden="false" customHeight="false" outlineLevel="0" collapsed="false">
      <c r="A19" s="7" t="str">
        <f aca="false">IF($B19="","",$B19&amp;"|"&amp;$C19&amp;"|"&amp;$F19)</f>
        <v/>
      </c>
      <c r="B19" s="5"/>
      <c r="C19" s="5"/>
      <c r="D19" s="5"/>
      <c r="E19" s="5"/>
      <c r="F19" s="5"/>
      <c r="G19" s="5"/>
      <c r="H19" s="5"/>
      <c r="I19" s="5"/>
      <c r="J19" s="20"/>
      <c r="K19" s="20"/>
      <c r="L19" s="28"/>
      <c r="M19" s="20"/>
      <c r="N19" s="28"/>
      <c r="O19" s="19"/>
      <c r="P19" s="19"/>
      <c r="Q19" s="5"/>
      <c r="R19" s="19"/>
      <c r="S19" s="5"/>
      <c r="T19" s="20"/>
      <c r="U19" s="20"/>
      <c r="V19" s="29"/>
      <c r="W19" s="28"/>
      <c r="X19" s="19"/>
      <c r="Y19" s="19"/>
      <c r="Z19" s="5"/>
      <c r="AA19" s="19"/>
      <c r="AB19" s="5"/>
      <c r="AC19" s="5"/>
      <c r="AD19" s="5"/>
      <c r="AE19" s="5"/>
      <c r="AF19" s="30"/>
      <c r="AG19" s="30"/>
      <c r="AH19" s="30"/>
      <c r="AI19" s="30"/>
      <c r="AJ19" s="30"/>
      <c r="AK19" s="30"/>
      <c r="AL19" s="28"/>
      <c r="AM19" s="5"/>
      <c r="AN19" s="19"/>
      <c r="AO19" s="19"/>
      <c r="AP19" s="5"/>
      <c r="AQ19" s="5"/>
      <c r="AR19" s="5"/>
      <c r="AS19" s="5"/>
      <c r="AT19" s="5"/>
      <c r="AU19" s="19"/>
      <c r="AV19" s="19"/>
      <c r="AW19" s="5"/>
      <c r="AX19" s="5"/>
      <c r="AY19" s="19"/>
      <c r="AZ19" s="30"/>
      <c r="BA19" s="5"/>
      <c r="BB19" s="31" t="str">
        <f aca="false">IF(OR($T19="",$M19=""),"",$T19-$M19)</f>
        <v/>
      </c>
      <c r="BC19" s="32" t="str">
        <f aca="false">IF(OR($T19="",$M19="",$M19=0),"",($T19-$M19)/$M19)</f>
        <v/>
      </c>
      <c r="BD19" s="31" t="str">
        <f aca="false">IF(OR($U19="",$M19=""),"",$U19-$M19)</f>
        <v/>
      </c>
      <c r="BE19" s="32" t="str">
        <f aca="false">IF(OR($U19="",$M19="",$M19=0),"",($U19-$M19)/$M19)</f>
        <v/>
      </c>
      <c r="BF19" s="32" t="str">
        <f aca="false">IF(OR($U19="",$J19="",$J19=0),"",($U19-$J19)/$J19)</f>
        <v/>
      </c>
      <c r="BG19" s="32" t="str">
        <f aca="false">IF(OR($M19="",$K19="",$K19=0),"",($M19-$K19)/$K19)</f>
        <v/>
      </c>
      <c r="BH19" s="32" t="str">
        <f aca="false">IF(OR($W19="",$N19="",$N19=0),"",($W19-$N19)/$N19)</f>
        <v/>
      </c>
      <c r="BI19" s="33" t="str">
        <f aca="false">IF(OR($O19="",$X19=""),"",$O19-$X19)</f>
        <v/>
      </c>
      <c r="BJ19" s="33" t="str">
        <f aca="false">IF(OR($P19="",$Y19=""),"",$P19-$Y19)</f>
        <v/>
      </c>
      <c r="BK19" s="34" t="str">
        <f aca="false">IF(OR($AN19="",$AO19="",$AN19=0),"",$AO19/$AN19)</f>
        <v/>
      </c>
      <c r="BL19" s="34" t="str">
        <f aca="false">IF(OR($AU19="",$AV19="",$AU19=0),"",$AV19/$AU19)</f>
        <v/>
      </c>
      <c r="BM19" s="7" t="str">
        <f aca="false">IF($Z19="","",IF(AND($Z19="Y",$AB19&lt;&gt;"N",$AC19&lt;&gt;"Y"),"Y","N"))</f>
        <v/>
      </c>
      <c r="BN19" s="7" t="str">
        <f aca="false">IF($AH19="","",IF($Z19&lt;&gt;"Y","undefined",IF($AH19&lt;=1,"Y","N")))</f>
        <v/>
      </c>
      <c r="BO19" s="7" t="str">
        <f aca="false">IF($AH19="","",IF($Z19&lt;&gt;"Y","undefined",IF($AH19&lt;=10,"Y","N")))</f>
        <v/>
      </c>
      <c r="BP19" s="7" t="str">
        <f aca="false">IF($AH19="","",IF($Z19&lt;&gt;"Y","undefined",IF($AH19&lt;=100,"Y","N")))</f>
        <v/>
      </c>
    </row>
    <row r="20" customFormat="false" ht="15" hidden="false" customHeight="false" outlineLevel="0" collapsed="false">
      <c r="A20" s="7" t="str">
        <f aca="false">IF($B20="","",$B20&amp;"|"&amp;$C20&amp;"|"&amp;$F20)</f>
        <v/>
      </c>
      <c r="B20" s="5"/>
      <c r="C20" s="5"/>
      <c r="D20" s="5"/>
      <c r="E20" s="5"/>
      <c r="F20" s="5"/>
      <c r="G20" s="5"/>
      <c r="H20" s="5"/>
      <c r="I20" s="5"/>
      <c r="J20" s="20"/>
      <c r="K20" s="20"/>
      <c r="L20" s="28"/>
      <c r="M20" s="20"/>
      <c r="N20" s="28"/>
      <c r="O20" s="19"/>
      <c r="P20" s="19"/>
      <c r="Q20" s="5"/>
      <c r="R20" s="19"/>
      <c r="S20" s="5"/>
      <c r="T20" s="20"/>
      <c r="U20" s="20"/>
      <c r="V20" s="29"/>
      <c r="W20" s="28"/>
      <c r="X20" s="19"/>
      <c r="Y20" s="19"/>
      <c r="Z20" s="5"/>
      <c r="AA20" s="19"/>
      <c r="AB20" s="5"/>
      <c r="AC20" s="5"/>
      <c r="AD20" s="5"/>
      <c r="AE20" s="5"/>
      <c r="AF20" s="30"/>
      <c r="AG20" s="30"/>
      <c r="AH20" s="30"/>
      <c r="AI20" s="30"/>
      <c r="AJ20" s="30"/>
      <c r="AK20" s="30"/>
      <c r="AL20" s="28"/>
      <c r="AM20" s="5"/>
      <c r="AN20" s="19"/>
      <c r="AO20" s="19"/>
      <c r="AP20" s="5"/>
      <c r="AQ20" s="5"/>
      <c r="AR20" s="5"/>
      <c r="AS20" s="5"/>
      <c r="AT20" s="5"/>
      <c r="AU20" s="19"/>
      <c r="AV20" s="19"/>
      <c r="AW20" s="5"/>
      <c r="AX20" s="5"/>
      <c r="AY20" s="19"/>
      <c r="AZ20" s="30"/>
      <c r="BA20" s="5"/>
      <c r="BB20" s="31" t="str">
        <f aca="false">IF(OR($T20="",$M20=""),"",$T20-$M20)</f>
        <v/>
      </c>
      <c r="BC20" s="32" t="str">
        <f aca="false">IF(OR($T20="",$M20="",$M20=0),"",($T20-$M20)/$M20)</f>
        <v/>
      </c>
      <c r="BD20" s="31" t="str">
        <f aca="false">IF(OR($U20="",$M20=""),"",$U20-$M20)</f>
        <v/>
      </c>
      <c r="BE20" s="32" t="str">
        <f aca="false">IF(OR($U20="",$M20="",$M20=0),"",($U20-$M20)/$M20)</f>
        <v/>
      </c>
      <c r="BF20" s="32" t="str">
        <f aca="false">IF(OR($U20="",$J20="",$J20=0),"",($U20-$J20)/$J20)</f>
        <v/>
      </c>
      <c r="BG20" s="32" t="str">
        <f aca="false">IF(OR($M20="",$K20="",$K20=0),"",($M20-$K20)/$K20)</f>
        <v/>
      </c>
      <c r="BH20" s="32" t="str">
        <f aca="false">IF(OR($W20="",$N20="",$N20=0),"",($W20-$N20)/$N20)</f>
        <v/>
      </c>
      <c r="BI20" s="33" t="str">
        <f aca="false">IF(OR($O20="",$X20=""),"",$O20-$X20)</f>
        <v/>
      </c>
      <c r="BJ20" s="33" t="str">
        <f aca="false">IF(OR($P20="",$Y20=""),"",$P20-$Y20)</f>
        <v/>
      </c>
      <c r="BK20" s="34" t="str">
        <f aca="false">IF(OR($AN20="",$AO20="",$AN20=0),"",$AO20/$AN20)</f>
        <v/>
      </c>
      <c r="BL20" s="34" t="str">
        <f aca="false">IF(OR($AU20="",$AV20="",$AU20=0),"",$AV20/$AU20)</f>
        <v/>
      </c>
      <c r="BM20" s="7" t="str">
        <f aca="false">IF($Z20="","",IF(AND($Z20="Y",$AB20&lt;&gt;"N",$AC20&lt;&gt;"Y"),"Y","N"))</f>
        <v/>
      </c>
      <c r="BN20" s="7" t="str">
        <f aca="false">IF($AH20="","",IF($Z20&lt;&gt;"Y","undefined",IF($AH20&lt;=1,"Y","N")))</f>
        <v/>
      </c>
      <c r="BO20" s="7" t="str">
        <f aca="false">IF($AH20="","",IF($Z20&lt;&gt;"Y","undefined",IF($AH20&lt;=10,"Y","N")))</f>
        <v/>
      </c>
      <c r="BP20" s="7" t="str">
        <f aca="false">IF($AH20="","",IF($Z20&lt;&gt;"Y","undefined",IF($AH20&lt;=100,"Y","N")))</f>
        <v/>
      </c>
    </row>
    <row r="21" customFormat="false" ht="15" hidden="false" customHeight="false" outlineLevel="0" collapsed="false">
      <c r="A21" s="7" t="str">
        <f aca="false">IF($B21="","",$B21&amp;"|"&amp;$C21&amp;"|"&amp;$F21)</f>
        <v/>
      </c>
      <c r="B21" s="5"/>
      <c r="C21" s="5"/>
      <c r="D21" s="5"/>
      <c r="E21" s="5"/>
      <c r="F21" s="5"/>
      <c r="G21" s="5"/>
      <c r="H21" s="5"/>
      <c r="I21" s="5"/>
      <c r="J21" s="20"/>
      <c r="K21" s="20"/>
      <c r="L21" s="28"/>
      <c r="M21" s="20"/>
      <c r="N21" s="28"/>
      <c r="O21" s="19"/>
      <c r="P21" s="19"/>
      <c r="Q21" s="5"/>
      <c r="R21" s="19"/>
      <c r="S21" s="5"/>
      <c r="T21" s="20"/>
      <c r="U21" s="20"/>
      <c r="V21" s="29"/>
      <c r="W21" s="28"/>
      <c r="X21" s="19"/>
      <c r="Y21" s="19"/>
      <c r="Z21" s="5"/>
      <c r="AA21" s="19"/>
      <c r="AB21" s="5"/>
      <c r="AC21" s="5"/>
      <c r="AD21" s="5"/>
      <c r="AE21" s="5"/>
      <c r="AF21" s="30"/>
      <c r="AG21" s="30"/>
      <c r="AH21" s="30"/>
      <c r="AI21" s="30"/>
      <c r="AJ21" s="30"/>
      <c r="AK21" s="30"/>
      <c r="AL21" s="28"/>
      <c r="AM21" s="5"/>
      <c r="AN21" s="19"/>
      <c r="AO21" s="19"/>
      <c r="AP21" s="5"/>
      <c r="AQ21" s="5"/>
      <c r="AR21" s="5"/>
      <c r="AS21" s="5"/>
      <c r="AT21" s="5"/>
      <c r="AU21" s="19"/>
      <c r="AV21" s="19"/>
      <c r="AW21" s="5"/>
      <c r="AX21" s="5"/>
      <c r="AY21" s="19"/>
      <c r="AZ21" s="30"/>
      <c r="BA21" s="5"/>
      <c r="BB21" s="31" t="str">
        <f aca="false">IF(OR($T21="",$M21=""),"",$T21-$M21)</f>
        <v/>
      </c>
      <c r="BC21" s="32" t="str">
        <f aca="false">IF(OR($T21="",$M21="",$M21=0),"",($T21-$M21)/$M21)</f>
        <v/>
      </c>
      <c r="BD21" s="31" t="str">
        <f aca="false">IF(OR($U21="",$M21=""),"",$U21-$M21)</f>
        <v/>
      </c>
      <c r="BE21" s="32" t="str">
        <f aca="false">IF(OR($U21="",$M21="",$M21=0),"",($U21-$M21)/$M21)</f>
        <v/>
      </c>
      <c r="BF21" s="32" t="str">
        <f aca="false">IF(OR($U21="",$J21="",$J21=0),"",($U21-$J21)/$J21)</f>
        <v/>
      </c>
      <c r="BG21" s="32" t="str">
        <f aca="false">IF(OR($M21="",$K21="",$K21=0),"",($M21-$K21)/$K21)</f>
        <v/>
      </c>
      <c r="BH21" s="32" t="str">
        <f aca="false">IF(OR($W21="",$N21="",$N21=0),"",($W21-$N21)/$N21)</f>
        <v/>
      </c>
      <c r="BI21" s="33" t="str">
        <f aca="false">IF(OR($O21="",$X21=""),"",$O21-$X21)</f>
        <v/>
      </c>
      <c r="BJ21" s="33" t="str">
        <f aca="false">IF(OR($P21="",$Y21=""),"",$P21-$Y21)</f>
        <v/>
      </c>
      <c r="BK21" s="34" t="str">
        <f aca="false">IF(OR($AN21="",$AO21="",$AN21=0),"",$AO21/$AN21)</f>
        <v/>
      </c>
      <c r="BL21" s="34" t="str">
        <f aca="false">IF(OR($AU21="",$AV21="",$AU21=0),"",$AV21/$AU21)</f>
        <v/>
      </c>
      <c r="BM21" s="7" t="str">
        <f aca="false">IF($Z21="","",IF(AND($Z21="Y",$AB21&lt;&gt;"N",$AC21&lt;&gt;"Y"),"Y","N"))</f>
        <v/>
      </c>
      <c r="BN21" s="7" t="str">
        <f aca="false">IF($AH21="","",IF($Z21&lt;&gt;"Y","undefined",IF($AH21&lt;=1,"Y","N")))</f>
        <v/>
      </c>
      <c r="BO21" s="7" t="str">
        <f aca="false">IF($AH21="","",IF($Z21&lt;&gt;"Y","undefined",IF($AH21&lt;=10,"Y","N")))</f>
        <v/>
      </c>
      <c r="BP21" s="7" t="str">
        <f aca="false">IF($AH21="","",IF($Z21&lt;&gt;"Y","undefined",IF($AH21&lt;=100,"Y","N")))</f>
        <v/>
      </c>
    </row>
    <row r="22" customFormat="false" ht="15" hidden="false" customHeight="false" outlineLevel="0" collapsed="false">
      <c r="A22" s="7" t="str">
        <f aca="false">IF($B22="","",$B22&amp;"|"&amp;$C22&amp;"|"&amp;$F22)</f>
        <v/>
      </c>
      <c r="B22" s="5"/>
      <c r="C22" s="5"/>
      <c r="D22" s="5"/>
      <c r="E22" s="5"/>
      <c r="F22" s="5"/>
      <c r="G22" s="5"/>
      <c r="H22" s="5"/>
      <c r="I22" s="5"/>
      <c r="J22" s="20"/>
      <c r="K22" s="20"/>
      <c r="L22" s="28"/>
      <c r="M22" s="20"/>
      <c r="N22" s="28"/>
      <c r="O22" s="19"/>
      <c r="P22" s="19"/>
      <c r="Q22" s="5"/>
      <c r="R22" s="19"/>
      <c r="S22" s="5"/>
      <c r="T22" s="20"/>
      <c r="U22" s="20"/>
      <c r="V22" s="29"/>
      <c r="W22" s="28"/>
      <c r="X22" s="19"/>
      <c r="Y22" s="19"/>
      <c r="Z22" s="5"/>
      <c r="AA22" s="19"/>
      <c r="AB22" s="5"/>
      <c r="AC22" s="5"/>
      <c r="AD22" s="5"/>
      <c r="AE22" s="5"/>
      <c r="AF22" s="30"/>
      <c r="AG22" s="30"/>
      <c r="AH22" s="30"/>
      <c r="AI22" s="30"/>
      <c r="AJ22" s="30"/>
      <c r="AK22" s="30"/>
      <c r="AL22" s="28"/>
      <c r="AM22" s="5"/>
      <c r="AN22" s="19"/>
      <c r="AO22" s="19"/>
      <c r="AP22" s="5"/>
      <c r="AQ22" s="5"/>
      <c r="AR22" s="5"/>
      <c r="AS22" s="5"/>
      <c r="AT22" s="5"/>
      <c r="AU22" s="19"/>
      <c r="AV22" s="19"/>
      <c r="AW22" s="5"/>
      <c r="AX22" s="5"/>
      <c r="AY22" s="19"/>
      <c r="AZ22" s="30"/>
      <c r="BA22" s="5"/>
      <c r="BB22" s="31" t="str">
        <f aca="false">IF(OR($T22="",$M22=""),"",$T22-$M22)</f>
        <v/>
      </c>
      <c r="BC22" s="32" t="str">
        <f aca="false">IF(OR($T22="",$M22="",$M22=0),"",($T22-$M22)/$M22)</f>
        <v/>
      </c>
      <c r="BD22" s="31" t="str">
        <f aca="false">IF(OR($U22="",$M22=""),"",$U22-$M22)</f>
        <v/>
      </c>
      <c r="BE22" s="32" t="str">
        <f aca="false">IF(OR($U22="",$M22="",$M22=0),"",($U22-$M22)/$M22)</f>
        <v/>
      </c>
      <c r="BF22" s="32" t="str">
        <f aca="false">IF(OR($U22="",$J22="",$J22=0),"",($U22-$J22)/$J22)</f>
        <v/>
      </c>
      <c r="BG22" s="32" t="str">
        <f aca="false">IF(OR($M22="",$K22="",$K22=0),"",($M22-$K22)/$K22)</f>
        <v/>
      </c>
      <c r="BH22" s="32" t="str">
        <f aca="false">IF(OR($W22="",$N22="",$N22=0),"",($W22-$N22)/$N22)</f>
        <v/>
      </c>
      <c r="BI22" s="33" t="str">
        <f aca="false">IF(OR($O22="",$X22=""),"",$O22-$X22)</f>
        <v/>
      </c>
      <c r="BJ22" s="33" t="str">
        <f aca="false">IF(OR($P22="",$Y22=""),"",$P22-$Y22)</f>
        <v/>
      </c>
      <c r="BK22" s="34" t="str">
        <f aca="false">IF(OR($AN22="",$AO22="",$AN22=0),"",$AO22/$AN22)</f>
        <v/>
      </c>
      <c r="BL22" s="34" t="str">
        <f aca="false">IF(OR($AU22="",$AV22="",$AU22=0),"",$AV22/$AU22)</f>
        <v/>
      </c>
      <c r="BM22" s="7" t="str">
        <f aca="false">IF($Z22="","",IF(AND($Z22="Y",$AB22&lt;&gt;"N",$AC22&lt;&gt;"Y"),"Y","N"))</f>
        <v/>
      </c>
      <c r="BN22" s="7" t="str">
        <f aca="false">IF($AH22="","",IF($Z22&lt;&gt;"Y","undefined",IF($AH22&lt;=1,"Y","N")))</f>
        <v/>
      </c>
      <c r="BO22" s="7" t="str">
        <f aca="false">IF($AH22="","",IF($Z22&lt;&gt;"Y","undefined",IF($AH22&lt;=10,"Y","N")))</f>
        <v/>
      </c>
      <c r="BP22" s="7" t="str">
        <f aca="false">IF($AH22="","",IF($Z22&lt;&gt;"Y","undefined",IF($AH22&lt;=100,"Y","N")))</f>
        <v/>
      </c>
    </row>
    <row r="23" customFormat="false" ht="15" hidden="false" customHeight="false" outlineLevel="0" collapsed="false">
      <c r="A23" s="7" t="str">
        <f aca="false">IF($B23="","",$B23&amp;"|"&amp;$C23&amp;"|"&amp;$F23)</f>
        <v/>
      </c>
      <c r="B23" s="5"/>
      <c r="C23" s="5"/>
      <c r="D23" s="5"/>
      <c r="E23" s="5"/>
      <c r="F23" s="5"/>
      <c r="G23" s="5"/>
      <c r="H23" s="5"/>
      <c r="I23" s="5"/>
      <c r="J23" s="20"/>
      <c r="K23" s="20"/>
      <c r="L23" s="28"/>
      <c r="M23" s="20"/>
      <c r="N23" s="28"/>
      <c r="O23" s="19"/>
      <c r="P23" s="19"/>
      <c r="Q23" s="5"/>
      <c r="R23" s="19"/>
      <c r="S23" s="5"/>
      <c r="T23" s="20"/>
      <c r="U23" s="20"/>
      <c r="V23" s="29"/>
      <c r="W23" s="28"/>
      <c r="X23" s="19"/>
      <c r="Y23" s="19"/>
      <c r="Z23" s="5"/>
      <c r="AA23" s="19"/>
      <c r="AB23" s="5"/>
      <c r="AC23" s="5"/>
      <c r="AD23" s="5"/>
      <c r="AE23" s="5"/>
      <c r="AF23" s="30"/>
      <c r="AG23" s="30"/>
      <c r="AH23" s="30"/>
      <c r="AI23" s="30"/>
      <c r="AJ23" s="30"/>
      <c r="AK23" s="30"/>
      <c r="AL23" s="28"/>
      <c r="AM23" s="5"/>
      <c r="AN23" s="19"/>
      <c r="AO23" s="19"/>
      <c r="AP23" s="5"/>
      <c r="AQ23" s="5"/>
      <c r="AR23" s="5"/>
      <c r="AS23" s="5"/>
      <c r="AT23" s="5"/>
      <c r="AU23" s="19"/>
      <c r="AV23" s="19"/>
      <c r="AW23" s="5"/>
      <c r="AX23" s="5"/>
      <c r="AY23" s="19"/>
      <c r="AZ23" s="30"/>
      <c r="BA23" s="5"/>
      <c r="BB23" s="31" t="str">
        <f aca="false">IF(OR($T23="",$M23=""),"",$T23-$M23)</f>
        <v/>
      </c>
      <c r="BC23" s="32" t="str">
        <f aca="false">IF(OR($T23="",$M23="",$M23=0),"",($T23-$M23)/$M23)</f>
        <v/>
      </c>
      <c r="BD23" s="31" t="str">
        <f aca="false">IF(OR($U23="",$M23=""),"",$U23-$M23)</f>
        <v/>
      </c>
      <c r="BE23" s="32" t="str">
        <f aca="false">IF(OR($U23="",$M23="",$M23=0),"",($U23-$M23)/$M23)</f>
        <v/>
      </c>
      <c r="BF23" s="32" t="str">
        <f aca="false">IF(OR($U23="",$J23="",$J23=0),"",($U23-$J23)/$J23)</f>
        <v/>
      </c>
      <c r="BG23" s="32" t="str">
        <f aca="false">IF(OR($M23="",$K23="",$K23=0),"",($M23-$K23)/$K23)</f>
        <v/>
      </c>
      <c r="BH23" s="32" t="str">
        <f aca="false">IF(OR($W23="",$N23="",$N23=0),"",($W23-$N23)/$N23)</f>
        <v/>
      </c>
      <c r="BI23" s="33" t="str">
        <f aca="false">IF(OR($O23="",$X23=""),"",$O23-$X23)</f>
        <v/>
      </c>
      <c r="BJ23" s="33" t="str">
        <f aca="false">IF(OR($P23="",$Y23=""),"",$P23-$Y23)</f>
        <v/>
      </c>
      <c r="BK23" s="34" t="str">
        <f aca="false">IF(OR($AN23="",$AO23="",$AN23=0),"",$AO23/$AN23)</f>
        <v/>
      </c>
      <c r="BL23" s="34" t="str">
        <f aca="false">IF(OR($AU23="",$AV23="",$AU23=0),"",$AV23/$AU23)</f>
        <v/>
      </c>
      <c r="BM23" s="7" t="str">
        <f aca="false">IF($Z23="","",IF(AND($Z23="Y",$AB23&lt;&gt;"N",$AC23&lt;&gt;"Y"),"Y","N"))</f>
        <v/>
      </c>
      <c r="BN23" s="7" t="str">
        <f aca="false">IF($AH23="","",IF($Z23&lt;&gt;"Y","undefined",IF($AH23&lt;=1,"Y","N")))</f>
        <v/>
      </c>
      <c r="BO23" s="7" t="str">
        <f aca="false">IF($AH23="","",IF($Z23&lt;&gt;"Y","undefined",IF($AH23&lt;=10,"Y","N")))</f>
        <v/>
      </c>
      <c r="BP23" s="7" t="str">
        <f aca="false">IF($AH23="","",IF($Z23&lt;&gt;"Y","undefined",IF($AH23&lt;=100,"Y","N")))</f>
        <v/>
      </c>
    </row>
    <row r="24" customFormat="false" ht="15" hidden="false" customHeight="false" outlineLevel="0" collapsed="false">
      <c r="A24" s="7" t="str">
        <f aca="false">IF($B24="","",$B24&amp;"|"&amp;$C24&amp;"|"&amp;$F24)</f>
        <v/>
      </c>
      <c r="B24" s="5"/>
      <c r="C24" s="5"/>
      <c r="D24" s="5"/>
      <c r="E24" s="5"/>
      <c r="F24" s="5"/>
      <c r="G24" s="5"/>
      <c r="H24" s="5"/>
      <c r="I24" s="5"/>
      <c r="J24" s="20"/>
      <c r="K24" s="20"/>
      <c r="L24" s="28"/>
      <c r="M24" s="20"/>
      <c r="N24" s="28"/>
      <c r="O24" s="19"/>
      <c r="P24" s="19"/>
      <c r="Q24" s="5"/>
      <c r="R24" s="19"/>
      <c r="S24" s="5"/>
      <c r="T24" s="20"/>
      <c r="U24" s="20"/>
      <c r="V24" s="29"/>
      <c r="W24" s="28"/>
      <c r="X24" s="19"/>
      <c r="Y24" s="19"/>
      <c r="Z24" s="5"/>
      <c r="AA24" s="19"/>
      <c r="AB24" s="5"/>
      <c r="AC24" s="5"/>
      <c r="AD24" s="5"/>
      <c r="AE24" s="5"/>
      <c r="AF24" s="30"/>
      <c r="AG24" s="30"/>
      <c r="AH24" s="30"/>
      <c r="AI24" s="30"/>
      <c r="AJ24" s="30"/>
      <c r="AK24" s="30"/>
      <c r="AL24" s="28"/>
      <c r="AM24" s="5"/>
      <c r="AN24" s="19"/>
      <c r="AO24" s="19"/>
      <c r="AP24" s="5"/>
      <c r="AQ24" s="5"/>
      <c r="AR24" s="5"/>
      <c r="AS24" s="5"/>
      <c r="AT24" s="5"/>
      <c r="AU24" s="19"/>
      <c r="AV24" s="19"/>
      <c r="AW24" s="5"/>
      <c r="AX24" s="5"/>
      <c r="AY24" s="19"/>
      <c r="AZ24" s="30"/>
      <c r="BA24" s="5"/>
      <c r="BB24" s="31" t="str">
        <f aca="false">IF(OR($T24="",$M24=""),"",$T24-$M24)</f>
        <v/>
      </c>
      <c r="BC24" s="32" t="str">
        <f aca="false">IF(OR($T24="",$M24="",$M24=0),"",($T24-$M24)/$M24)</f>
        <v/>
      </c>
      <c r="BD24" s="31" t="str">
        <f aca="false">IF(OR($U24="",$M24=""),"",$U24-$M24)</f>
        <v/>
      </c>
      <c r="BE24" s="32" t="str">
        <f aca="false">IF(OR($U24="",$M24="",$M24=0),"",($U24-$M24)/$M24)</f>
        <v/>
      </c>
      <c r="BF24" s="32" t="str">
        <f aca="false">IF(OR($U24="",$J24="",$J24=0),"",($U24-$J24)/$J24)</f>
        <v/>
      </c>
      <c r="BG24" s="32" t="str">
        <f aca="false">IF(OR($M24="",$K24="",$K24=0),"",($M24-$K24)/$K24)</f>
        <v/>
      </c>
      <c r="BH24" s="32" t="str">
        <f aca="false">IF(OR($W24="",$N24="",$N24=0),"",($W24-$N24)/$N24)</f>
        <v/>
      </c>
      <c r="BI24" s="33" t="str">
        <f aca="false">IF(OR($O24="",$X24=""),"",$O24-$X24)</f>
        <v/>
      </c>
      <c r="BJ24" s="33" t="str">
        <f aca="false">IF(OR($P24="",$Y24=""),"",$P24-$Y24)</f>
        <v/>
      </c>
      <c r="BK24" s="34" t="str">
        <f aca="false">IF(OR($AN24="",$AO24="",$AN24=0),"",$AO24/$AN24)</f>
        <v/>
      </c>
      <c r="BL24" s="34" t="str">
        <f aca="false">IF(OR($AU24="",$AV24="",$AU24=0),"",$AV24/$AU24)</f>
        <v/>
      </c>
      <c r="BM24" s="7" t="str">
        <f aca="false">IF($Z24="","",IF(AND($Z24="Y",$AB24&lt;&gt;"N",$AC24&lt;&gt;"Y"),"Y","N"))</f>
        <v/>
      </c>
      <c r="BN24" s="7" t="str">
        <f aca="false">IF($AH24="","",IF($Z24&lt;&gt;"Y","undefined",IF($AH24&lt;=1,"Y","N")))</f>
        <v/>
      </c>
      <c r="BO24" s="7" t="str">
        <f aca="false">IF($AH24="","",IF($Z24&lt;&gt;"Y","undefined",IF($AH24&lt;=10,"Y","N")))</f>
        <v/>
      </c>
      <c r="BP24" s="7" t="str">
        <f aca="false">IF($AH24="","",IF($Z24&lt;&gt;"Y","undefined",IF($AH24&lt;=100,"Y","N")))</f>
        <v/>
      </c>
    </row>
    <row r="25" customFormat="false" ht="15" hidden="false" customHeight="false" outlineLevel="0" collapsed="false">
      <c r="A25" s="7" t="str">
        <f aca="false">IF($B25="","",$B25&amp;"|"&amp;$C25&amp;"|"&amp;$F25)</f>
        <v/>
      </c>
      <c r="B25" s="5"/>
      <c r="C25" s="5"/>
      <c r="D25" s="5"/>
      <c r="E25" s="5"/>
      <c r="F25" s="5"/>
      <c r="G25" s="5"/>
      <c r="H25" s="5"/>
      <c r="I25" s="5"/>
      <c r="J25" s="20"/>
      <c r="K25" s="20"/>
      <c r="L25" s="28"/>
      <c r="M25" s="20"/>
      <c r="N25" s="28"/>
      <c r="O25" s="19"/>
      <c r="P25" s="19"/>
      <c r="Q25" s="5"/>
      <c r="R25" s="19"/>
      <c r="S25" s="5"/>
      <c r="T25" s="20"/>
      <c r="U25" s="20"/>
      <c r="V25" s="29"/>
      <c r="W25" s="28"/>
      <c r="X25" s="19"/>
      <c r="Y25" s="19"/>
      <c r="Z25" s="5"/>
      <c r="AA25" s="19"/>
      <c r="AB25" s="5"/>
      <c r="AC25" s="5"/>
      <c r="AD25" s="5"/>
      <c r="AE25" s="5"/>
      <c r="AF25" s="30"/>
      <c r="AG25" s="30"/>
      <c r="AH25" s="30"/>
      <c r="AI25" s="30"/>
      <c r="AJ25" s="30"/>
      <c r="AK25" s="30"/>
      <c r="AL25" s="28"/>
      <c r="AM25" s="5"/>
      <c r="AN25" s="19"/>
      <c r="AO25" s="19"/>
      <c r="AP25" s="5"/>
      <c r="AQ25" s="5"/>
      <c r="AR25" s="5"/>
      <c r="AS25" s="5"/>
      <c r="AT25" s="5"/>
      <c r="AU25" s="19"/>
      <c r="AV25" s="19"/>
      <c r="AW25" s="5"/>
      <c r="AX25" s="5"/>
      <c r="AY25" s="19"/>
      <c r="AZ25" s="30"/>
      <c r="BA25" s="5"/>
      <c r="BB25" s="31" t="str">
        <f aca="false">IF(OR($T25="",$M25=""),"",$T25-$M25)</f>
        <v/>
      </c>
      <c r="BC25" s="32" t="str">
        <f aca="false">IF(OR($T25="",$M25="",$M25=0),"",($T25-$M25)/$M25)</f>
        <v/>
      </c>
      <c r="BD25" s="31" t="str">
        <f aca="false">IF(OR($U25="",$M25=""),"",$U25-$M25)</f>
        <v/>
      </c>
      <c r="BE25" s="32" t="str">
        <f aca="false">IF(OR($U25="",$M25="",$M25=0),"",($U25-$M25)/$M25)</f>
        <v/>
      </c>
      <c r="BF25" s="32" t="str">
        <f aca="false">IF(OR($U25="",$J25="",$J25=0),"",($U25-$J25)/$J25)</f>
        <v/>
      </c>
      <c r="BG25" s="32" t="str">
        <f aca="false">IF(OR($M25="",$K25="",$K25=0),"",($M25-$K25)/$K25)</f>
        <v/>
      </c>
      <c r="BH25" s="32" t="str">
        <f aca="false">IF(OR($W25="",$N25="",$N25=0),"",($W25-$N25)/$N25)</f>
        <v/>
      </c>
      <c r="BI25" s="33" t="str">
        <f aca="false">IF(OR($O25="",$X25=""),"",$O25-$X25)</f>
        <v/>
      </c>
      <c r="BJ25" s="33" t="str">
        <f aca="false">IF(OR($P25="",$Y25=""),"",$P25-$Y25)</f>
        <v/>
      </c>
      <c r="BK25" s="34" t="str">
        <f aca="false">IF(OR($AN25="",$AO25="",$AN25=0),"",$AO25/$AN25)</f>
        <v/>
      </c>
      <c r="BL25" s="34" t="str">
        <f aca="false">IF(OR($AU25="",$AV25="",$AU25=0),"",$AV25/$AU25)</f>
        <v/>
      </c>
      <c r="BM25" s="7" t="str">
        <f aca="false">IF($Z25="","",IF(AND($Z25="Y",$AB25&lt;&gt;"N",$AC25&lt;&gt;"Y"),"Y","N"))</f>
        <v/>
      </c>
      <c r="BN25" s="7" t="str">
        <f aca="false">IF($AH25="","",IF($Z25&lt;&gt;"Y","undefined",IF($AH25&lt;=1,"Y","N")))</f>
        <v/>
      </c>
      <c r="BO25" s="7" t="str">
        <f aca="false">IF($AH25="","",IF($Z25&lt;&gt;"Y","undefined",IF($AH25&lt;=10,"Y","N")))</f>
        <v/>
      </c>
      <c r="BP25" s="7" t="str">
        <f aca="false">IF($AH25="","",IF($Z25&lt;&gt;"Y","undefined",IF($AH25&lt;=100,"Y","N")))</f>
        <v/>
      </c>
    </row>
    <row r="26" customFormat="false" ht="15" hidden="false" customHeight="false" outlineLevel="0" collapsed="false">
      <c r="A26" s="7" t="str">
        <f aca="false">IF($B26="","",$B26&amp;"|"&amp;$C26&amp;"|"&amp;$F26)</f>
        <v/>
      </c>
      <c r="B26" s="5"/>
      <c r="C26" s="5"/>
      <c r="D26" s="5"/>
      <c r="E26" s="5"/>
      <c r="F26" s="5"/>
      <c r="G26" s="5"/>
      <c r="H26" s="5"/>
      <c r="I26" s="5"/>
      <c r="J26" s="20"/>
      <c r="K26" s="20"/>
      <c r="L26" s="28"/>
      <c r="M26" s="20"/>
      <c r="N26" s="28"/>
      <c r="O26" s="19"/>
      <c r="P26" s="19"/>
      <c r="Q26" s="5"/>
      <c r="R26" s="19"/>
      <c r="S26" s="5"/>
      <c r="T26" s="20"/>
      <c r="U26" s="20"/>
      <c r="V26" s="29"/>
      <c r="W26" s="28"/>
      <c r="X26" s="19"/>
      <c r="Y26" s="19"/>
      <c r="Z26" s="5"/>
      <c r="AA26" s="19"/>
      <c r="AB26" s="5"/>
      <c r="AC26" s="5"/>
      <c r="AD26" s="5"/>
      <c r="AE26" s="5"/>
      <c r="AF26" s="30"/>
      <c r="AG26" s="30"/>
      <c r="AH26" s="30"/>
      <c r="AI26" s="30"/>
      <c r="AJ26" s="30"/>
      <c r="AK26" s="30"/>
      <c r="AL26" s="28"/>
      <c r="AM26" s="5"/>
      <c r="AN26" s="19"/>
      <c r="AO26" s="19"/>
      <c r="AP26" s="5"/>
      <c r="AQ26" s="5"/>
      <c r="AR26" s="5"/>
      <c r="AS26" s="5"/>
      <c r="AT26" s="5"/>
      <c r="AU26" s="19"/>
      <c r="AV26" s="19"/>
      <c r="AW26" s="5"/>
      <c r="AX26" s="5"/>
      <c r="AY26" s="19"/>
      <c r="AZ26" s="30"/>
      <c r="BA26" s="5"/>
      <c r="BB26" s="31" t="str">
        <f aca="false">IF(OR($T26="",$M26=""),"",$T26-$M26)</f>
        <v/>
      </c>
      <c r="BC26" s="32" t="str">
        <f aca="false">IF(OR($T26="",$M26="",$M26=0),"",($T26-$M26)/$M26)</f>
        <v/>
      </c>
      <c r="BD26" s="31" t="str">
        <f aca="false">IF(OR($U26="",$M26=""),"",$U26-$M26)</f>
        <v/>
      </c>
      <c r="BE26" s="32" t="str">
        <f aca="false">IF(OR($U26="",$M26="",$M26=0),"",($U26-$M26)/$M26)</f>
        <v/>
      </c>
      <c r="BF26" s="32" t="str">
        <f aca="false">IF(OR($U26="",$J26="",$J26=0),"",($U26-$J26)/$J26)</f>
        <v/>
      </c>
      <c r="BG26" s="32" t="str">
        <f aca="false">IF(OR($M26="",$K26="",$K26=0),"",($M26-$K26)/$K26)</f>
        <v/>
      </c>
      <c r="BH26" s="32" t="str">
        <f aca="false">IF(OR($W26="",$N26="",$N26=0),"",($W26-$N26)/$N26)</f>
        <v/>
      </c>
      <c r="BI26" s="33" t="str">
        <f aca="false">IF(OR($O26="",$X26=""),"",$O26-$X26)</f>
        <v/>
      </c>
      <c r="BJ26" s="33" t="str">
        <f aca="false">IF(OR($P26="",$Y26=""),"",$P26-$Y26)</f>
        <v/>
      </c>
      <c r="BK26" s="34" t="str">
        <f aca="false">IF(OR($AN26="",$AO26="",$AN26=0),"",$AO26/$AN26)</f>
        <v/>
      </c>
      <c r="BL26" s="34" t="str">
        <f aca="false">IF(OR($AU26="",$AV26="",$AU26=0),"",$AV26/$AU26)</f>
        <v/>
      </c>
      <c r="BM26" s="7" t="str">
        <f aca="false">IF($Z26="","",IF(AND($Z26="Y",$AB26&lt;&gt;"N",$AC26&lt;&gt;"Y"),"Y","N"))</f>
        <v/>
      </c>
      <c r="BN26" s="7" t="str">
        <f aca="false">IF($AH26="","",IF($Z26&lt;&gt;"Y","undefined",IF($AH26&lt;=1,"Y","N")))</f>
        <v/>
      </c>
      <c r="BO26" s="7" t="str">
        <f aca="false">IF($AH26="","",IF($Z26&lt;&gt;"Y","undefined",IF($AH26&lt;=10,"Y","N")))</f>
        <v/>
      </c>
      <c r="BP26" s="7" t="str">
        <f aca="false">IF($AH26="","",IF($Z26&lt;&gt;"Y","undefined",IF($AH26&lt;=100,"Y","N")))</f>
        <v/>
      </c>
    </row>
    <row r="27" customFormat="false" ht="15" hidden="false" customHeight="false" outlineLevel="0" collapsed="false">
      <c r="A27" s="7" t="str">
        <f aca="false">IF($B27="","",$B27&amp;"|"&amp;$C27&amp;"|"&amp;$F27)</f>
        <v/>
      </c>
      <c r="B27" s="5"/>
      <c r="C27" s="5"/>
      <c r="D27" s="5"/>
      <c r="E27" s="5"/>
      <c r="F27" s="5"/>
      <c r="G27" s="5"/>
      <c r="H27" s="5"/>
      <c r="I27" s="5"/>
      <c r="J27" s="20"/>
      <c r="K27" s="20"/>
      <c r="L27" s="28"/>
      <c r="M27" s="20"/>
      <c r="N27" s="28"/>
      <c r="O27" s="19"/>
      <c r="P27" s="19"/>
      <c r="Q27" s="5"/>
      <c r="R27" s="19"/>
      <c r="S27" s="5"/>
      <c r="T27" s="20"/>
      <c r="U27" s="20"/>
      <c r="V27" s="29"/>
      <c r="W27" s="28"/>
      <c r="X27" s="19"/>
      <c r="Y27" s="19"/>
      <c r="Z27" s="5"/>
      <c r="AA27" s="19"/>
      <c r="AB27" s="5"/>
      <c r="AC27" s="5"/>
      <c r="AD27" s="5"/>
      <c r="AE27" s="5"/>
      <c r="AF27" s="30"/>
      <c r="AG27" s="30"/>
      <c r="AH27" s="30"/>
      <c r="AI27" s="30"/>
      <c r="AJ27" s="30"/>
      <c r="AK27" s="30"/>
      <c r="AL27" s="28"/>
      <c r="AM27" s="5"/>
      <c r="AN27" s="19"/>
      <c r="AO27" s="19"/>
      <c r="AP27" s="5"/>
      <c r="AQ27" s="5"/>
      <c r="AR27" s="5"/>
      <c r="AS27" s="5"/>
      <c r="AT27" s="5"/>
      <c r="AU27" s="19"/>
      <c r="AV27" s="19"/>
      <c r="AW27" s="5"/>
      <c r="AX27" s="5"/>
      <c r="AY27" s="19"/>
      <c r="AZ27" s="30"/>
      <c r="BA27" s="5"/>
      <c r="BB27" s="31" t="str">
        <f aca="false">IF(OR($T27="",$M27=""),"",$T27-$M27)</f>
        <v/>
      </c>
      <c r="BC27" s="32" t="str">
        <f aca="false">IF(OR($T27="",$M27="",$M27=0),"",($T27-$M27)/$M27)</f>
        <v/>
      </c>
      <c r="BD27" s="31" t="str">
        <f aca="false">IF(OR($U27="",$M27=""),"",$U27-$M27)</f>
        <v/>
      </c>
      <c r="BE27" s="32" t="str">
        <f aca="false">IF(OR($U27="",$M27="",$M27=0),"",($U27-$M27)/$M27)</f>
        <v/>
      </c>
      <c r="BF27" s="32" t="str">
        <f aca="false">IF(OR($U27="",$J27="",$J27=0),"",($U27-$J27)/$J27)</f>
        <v/>
      </c>
      <c r="BG27" s="32" t="str">
        <f aca="false">IF(OR($M27="",$K27="",$K27=0),"",($M27-$K27)/$K27)</f>
        <v/>
      </c>
      <c r="BH27" s="32" t="str">
        <f aca="false">IF(OR($W27="",$N27="",$N27=0),"",($W27-$N27)/$N27)</f>
        <v/>
      </c>
      <c r="BI27" s="33" t="str">
        <f aca="false">IF(OR($O27="",$X27=""),"",$O27-$X27)</f>
        <v/>
      </c>
      <c r="BJ27" s="33" t="str">
        <f aca="false">IF(OR($P27="",$Y27=""),"",$P27-$Y27)</f>
        <v/>
      </c>
      <c r="BK27" s="34" t="str">
        <f aca="false">IF(OR($AN27="",$AO27="",$AN27=0),"",$AO27/$AN27)</f>
        <v/>
      </c>
      <c r="BL27" s="34" t="str">
        <f aca="false">IF(OR($AU27="",$AV27="",$AU27=0),"",$AV27/$AU27)</f>
        <v/>
      </c>
      <c r="BM27" s="7" t="str">
        <f aca="false">IF($Z27="","",IF(AND($Z27="Y",$AB27&lt;&gt;"N",$AC27&lt;&gt;"Y"),"Y","N"))</f>
        <v/>
      </c>
      <c r="BN27" s="7" t="str">
        <f aca="false">IF($AH27="","",IF($Z27&lt;&gt;"Y","undefined",IF($AH27&lt;=1,"Y","N")))</f>
        <v/>
      </c>
      <c r="BO27" s="7" t="str">
        <f aca="false">IF($AH27="","",IF($Z27&lt;&gt;"Y","undefined",IF($AH27&lt;=10,"Y","N")))</f>
        <v/>
      </c>
      <c r="BP27" s="7" t="str">
        <f aca="false">IF($AH27="","",IF($Z27&lt;&gt;"Y","undefined",IF($AH27&lt;=100,"Y","N")))</f>
        <v/>
      </c>
    </row>
    <row r="28" customFormat="false" ht="15" hidden="false" customHeight="false" outlineLevel="0" collapsed="false">
      <c r="A28" s="7" t="str">
        <f aca="false">IF($B28="","",$B28&amp;"|"&amp;$C28&amp;"|"&amp;$F28)</f>
        <v/>
      </c>
      <c r="B28" s="5"/>
      <c r="C28" s="5"/>
      <c r="D28" s="5"/>
      <c r="E28" s="5"/>
      <c r="F28" s="5"/>
      <c r="G28" s="5"/>
      <c r="H28" s="5"/>
      <c r="I28" s="5"/>
      <c r="J28" s="20"/>
      <c r="K28" s="20"/>
      <c r="L28" s="28"/>
      <c r="M28" s="20"/>
      <c r="N28" s="28"/>
      <c r="O28" s="19"/>
      <c r="P28" s="19"/>
      <c r="Q28" s="5"/>
      <c r="R28" s="19"/>
      <c r="S28" s="5"/>
      <c r="T28" s="20"/>
      <c r="U28" s="20"/>
      <c r="V28" s="29"/>
      <c r="W28" s="28"/>
      <c r="X28" s="19"/>
      <c r="Y28" s="19"/>
      <c r="Z28" s="5"/>
      <c r="AA28" s="19"/>
      <c r="AB28" s="5"/>
      <c r="AC28" s="5"/>
      <c r="AD28" s="5"/>
      <c r="AE28" s="5"/>
      <c r="AF28" s="30"/>
      <c r="AG28" s="30"/>
      <c r="AH28" s="30"/>
      <c r="AI28" s="30"/>
      <c r="AJ28" s="30"/>
      <c r="AK28" s="30"/>
      <c r="AL28" s="28"/>
      <c r="AM28" s="5"/>
      <c r="AN28" s="19"/>
      <c r="AO28" s="19"/>
      <c r="AP28" s="5"/>
      <c r="AQ28" s="5"/>
      <c r="AR28" s="5"/>
      <c r="AS28" s="5"/>
      <c r="AT28" s="5"/>
      <c r="AU28" s="19"/>
      <c r="AV28" s="19"/>
      <c r="AW28" s="5"/>
      <c r="AX28" s="5"/>
      <c r="AY28" s="19"/>
      <c r="AZ28" s="30"/>
      <c r="BA28" s="5"/>
      <c r="BB28" s="31" t="str">
        <f aca="false">IF(OR($T28="",$M28=""),"",$T28-$M28)</f>
        <v/>
      </c>
      <c r="BC28" s="32" t="str">
        <f aca="false">IF(OR($T28="",$M28="",$M28=0),"",($T28-$M28)/$M28)</f>
        <v/>
      </c>
      <c r="BD28" s="31" t="str">
        <f aca="false">IF(OR($U28="",$M28=""),"",$U28-$M28)</f>
        <v/>
      </c>
      <c r="BE28" s="32" t="str">
        <f aca="false">IF(OR($U28="",$M28="",$M28=0),"",($U28-$M28)/$M28)</f>
        <v/>
      </c>
      <c r="BF28" s="32" t="str">
        <f aca="false">IF(OR($U28="",$J28="",$J28=0),"",($U28-$J28)/$J28)</f>
        <v/>
      </c>
      <c r="BG28" s="32" t="str">
        <f aca="false">IF(OR($M28="",$K28="",$K28=0),"",($M28-$K28)/$K28)</f>
        <v/>
      </c>
      <c r="BH28" s="32" t="str">
        <f aca="false">IF(OR($W28="",$N28="",$N28=0),"",($W28-$N28)/$N28)</f>
        <v/>
      </c>
      <c r="BI28" s="33" t="str">
        <f aca="false">IF(OR($O28="",$X28=""),"",$O28-$X28)</f>
        <v/>
      </c>
      <c r="BJ28" s="33" t="str">
        <f aca="false">IF(OR($P28="",$Y28=""),"",$P28-$Y28)</f>
        <v/>
      </c>
      <c r="BK28" s="34" t="str">
        <f aca="false">IF(OR($AN28="",$AO28="",$AN28=0),"",$AO28/$AN28)</f>
        <v/>
      </c>
      <c r="BL28" s="34" t="str">
        <f aca="false">IF(OR($AU28="",$AV28="",$AU28=0),"",$AV28/$AU28)</f>
        <v/>
      </c>
      <c r="BM28" s="7" t="str">
        <f aca="false">IF($Z28="","",IF(AND($Z28="Y",$AB28&lt;&gt;"N",$AC28&lt;&gt;"Y"),"Y","N"))</f>
        <v/>
      </c>
      <c r="BN28" s="7" t="str">
        <f aca="false">IF($AH28="","",IF($Z28&lt;&gt;"Y","undefined",IF($AH28&lt;=1,"Y","N")))</f>
        <v/>
      </c>
      <c r="BO28" s="7" t="str">
        <f aca="false">IF($AH28="","",IF($Z28&lt;&gt;"Y","undefined",IF($AH28&lt;=10,"Y","N")))</f>
        <v/>
      </c>
      <c r="BP28" s="7" t="str">
        <f aca="false">IF($AH28="","",IF($Z28&lt;&gt;"Y","undefined",IF($AH28&lt;=100,"Y","N")))</f>
        <v/>
      </c>
    </row>
    <row r="29" customFormat="false" ht="15" hidden="false" customHeight="false" outlineLevel="0" collapsed="false">
      <c r="A29" s="7" t="str">
        <f aca="false">IF($B29="","",$B29&amp;"|"&amp;$C29&amp;"|"&amp;$F29)</f>
        <v/>
      </c>
      <c r="B29" s="5"/>
      <c r="C29" s="5"/>
      <c r="D29" s="5"/>
      <c r="E29" s="5"/>
      <c r="F29" s="5"/>
      <c r="G29" s="5"/>
      <c r="H29" s="5"/>
      <c r="I29" s="5"/>
      <c r="J29" s="20"/>
      <c r="K29" s="20"/>
      <c r="L29" s="28"/>
      <c r="M29" s="20"/>
      <c r="N29" s="28"/>
      <c r="O29" s="19"/>
      <c r="P29" s="19"/>
      <c r="Q29" s="5"/>
      <c r="R29" s="19"/>
      <c r="S29" s="5"/>
      <c r="T29" s="20"/>
      <c r="U29" s="20"/>
      <c r="V29" s="29"/>
      <c r="W29" s="28"/>
      <c r="X29" s="19"/>
      <c r="Y29" s="19"/>
      <c r="Z29" s="5"/>
      <c r="AA29" s="19"/>
      <c r="AB29" s="5"/>
      <c r="AC29" s="5"/>
      <c r="AD29" s="5"/>
      <c r="AE29" s="5"/>
      <c r="AF29" s="30"/>
      <c r="AG29" s="30"/>
      <c r="AH29" s="30"/>
      <c r="AI29" s="30"/>
      <c r="AJ29" s="30"/>
      <c r="AK29" s="30"/>
      <c r="AL29" s="28"/>
      <c r="AM29" s="5"/>
      <c r="AN29" s="19"/>
      <c r="AO29" s="19"/>
      <c r="AP29" s="5"/>
      <c r="AQ29" s="5"/>
      <c r="AR29" s="5"/>
      <c r="AS29" s="5"/>
      <c r="AT29" s="5"/>
      <c r="AU29" s="19"/>
      <c r="AV29" s="19"/>
      <c r="AW29" s="5"/>
      <c r="AX29" s="5"/>
      <c r="AY29" s="19"/>
      <c r="AZ29" s="30"/>
      <c r="BA29" s="5"/>
      <c r="BB29" s="31" t="str">
        <f aca="false">IF(OR($T29="",$M29=""),"",$T29-$M29)</f>
        <v/>
      </c>
      <c r="BC29" s="32" t="str">
        <f aca="false">IF(OR($T29="",$M29="",$M29=0),"",($T29-$M29)/$M29)</f>
        <v/>
      </c>
      <c r="BD29" s="31" t="str">
        <f aca="false">IF(OR($U29="",$M29=""),"",$U29-$M29)</f>
        <v/>
      </c>
      <c r="BE29" s="32" t="str">
        <f aca="false">IF(OR($U29="",$M29="",$M29=0),"",($U29-$M29)/$M29)</f>
        <v/>
      </c>
      <c r="BF29" s="32" t="str">
        <f aca="false">IF(OR($U29="",$J29="",$J29=0),"",($U29-$J29)/$J29)</f>
        <v/>
      </c>
      <c r="BG29" s="32" t="str">
        <f aca="false">IF(OR($M29="",$K29="",$K29=0),"",($M29-$K29)/$K29)</f>
        <v/>
      </c>
      <c r="BH29" s="32" t="str">
        <f aca="false">IF(OR($W29="",$N29="",$N29=0),"",($W29-$N29)/$N29)</f>
        <v/>
      </c>
      <c r="BI29" s="33" t="str">
        <f aca="false">IF(OR($O29="",$X29=""),"",$O29-$X29)</f>
        <v/>
      </c>
      <c r="BJ29" s="33" t="str">
        <f aca="false">IF(OR($P29="",$Y29=""),"",$P29-$Y29)</f>
        <v/>
      </c>
      <c r="BK29" s="34" t="str">
        <f aca="false">IF(OR($AN29="",$AO29="",$AN29=0),"",$AO29/$AN29)</f>
        <v/>
      </c>
      <c r="BL29" s="34" t="str">
        <f aca="false">IF(OR($AU29="",$AV29="",$AU29=0),"",$AV29/$AU29)</f>
        <v/>
      </c>
      <c r="BM29" s="7" t="str">
        <f aca="false">IF($Z29="","",IF(AND($Z29="Y",$AB29&lt;&gt;"N",$AC29&lt;&gt;"Y"),"Y","N"))</f>
        <v/>
      </c>
      <c r="BN29" s="7" t="str">
        <f aca="false">IF($AH29="","",IF($Z29&lt;&gt;"Y","undefined",IF($AH29&lt;=1,"Y","N")))</f>
        <v/>
      </c>
      <c r="BO29" s="7" t="str">
        <f aca="false">IF($AH29="","",IF($Z29&lt;&gt;"Y","undefined",IF($AH29&lt;=10,"Y","N")))</f>
        <v/>
      </c>
      <c r="BP29" s="7" t="str">
        <f aca="false">IF($AH29="","",IF($Z29&lt;&gt;"Y","undefined",IF($AH29&lt;=100,"Y","N")))</f>
        <v/>
      </c>
    </row>
    <row r="30" customFormat="false" ht="15" hidden="false" customHeight="false" outlineLevel="0" collapsed="false">
      <c r="A30" s="7" t="str">
        <f aca="false">IF($B30="","",$B30&amp;"|"&amp;$C30&amp;"|"&amp;$F30)</f>
        <v/>
      </c>
      <c r="B30" s="5"/>
      <c r="C30" s="5"/>
      <c r="D30" s="5"/>
      <c r="E30" s="5"/>
      <c r="F30" s="5"/>
      <c r="G30" s="5"/>
      <c r="H30" s="5"/>
      <c r="I30" s="5"/>
      <c r="J30" s="20"/>
      <c r="K30" s="20"/>
      <c r="L30" s="28"/>
      <c r="M30" s="20"/>
      <c r="N30" s="28"/>
      <c r="O30" s="19"/>
      <c r="P30" s="19"/>
      <c r="Q30" s="5"/>
      <c r="R30" s="19"/>
      <c r="S30" s="5"/>
      <c r="T30" s="20"/>
      <c r="U30" s="20"/>
      <c r="V30" s="29"/>
      <c r="W30" s="28"/>
      <c r="X30" s="19"/>
      <c r="Y30" s="19"/>
      <c r="Z30" s="5"/>
      <c r="AA30" s="19"/>
      <c r="AB30" s="5"/>
      <c r="AC30" s="5"/>
      <c r="AD30" s="5"/>
      <c r="AE30" s="5"/>
      <c r="AF30" s="30"/>
      <c r="AG30" s="30"/>
      <c r="AH30" s="30"/>
      <c r="AI30" s="30"/>
      <c r="AJ30" s="30"/>
      <c r="AK30" s="30"/>
      <c r="AL30" s="28"/>
      <c r="AM30" s="5"/>
      <c r="AN30" s="19"/>
      <c r="AO30" s="19"/>
      <c r="AP30" s="5"/>
      <c r="AQ30" s="5"/>
      <c r="AR30" s="5"/>
      <c r="AS30" s="5"/>
      <c r="AT30" s="5"/>
      <c r="AU30" s="19"/>
      <c r="AV30" s="19"/>
      <c r="AW30" s="5"/>
      <c r="AX30" s="5"/>
      <c r="AY30" s="19"/>
      <c r="AZ30" s="30"/>
      <c r="BA30" s="5"/>
      <c r="BB30" s="31" t="str">
        <f aca="false">IF(OR($T30="",$M30=""),"",$T30-$M30)</f>
        <v/>
      </c>
      <c r="BC30" s="32" t="str">
        <f aca="false">IF(OR($T30="",$M30="",$M30=0),"",($T30-$M30)/$M30)</f>
        <v/>
      </c>
      <c r="BD30" s="31" t="str">
        <f aca="false">IF(OR($U30="",$M30=""),"",$U30-$M30)</f>
        <v/>
      </c>
      <c r="BE30" s="32" t="str">
        <f aca="false">IF(OR($U30="",$M30="",$M30=0),"",($U30-$M30)/$M30)</f>
        <v/>
      </c>
      <c r="BF30" s="32" t="str">
        <f aca="false">IF(OR($U30="",$J30="",$J30=0),"",($U30-$J30)/$J30)</f>
        <v/>
      </c>
      <c r="BG30" s="32" t="str">
        <f aca="false">IF(OR($M30="",$K30="",$K30=0),"",($M30-$K30)/$K30)</f>
        <v/>
      </c>
      <c r="BH30" s="32" t="str">
        <f aca="false">IF(OR($W30="",$N30="",$N30=0),"",($W30-$N30)/$N30)</f>
        <v/>
      </c>
      <c r="BI30" s="33" t="str">
        <f aca="false">IF(OR($O30="",$X30=""),"",$O30-$X30)</f>
        <v/>
      </c>
      <c r="BJ30" s="33" t="str">
        <f aca="false">IF(OR($P30="",$Y30=""),"",$P30-$Y30)</f>
        <v/>
      </c>
      <c r="BK30" s="34" t="str">
        <f aca="false">IF(OR($AN30="",$AO30="",$AN30=0),"",$AO30/$AN30)</f>
        <v/>
      </c>
      <c r="BL30" s="34" t="str">
        <f aca="false">IF(OR($AU30="",$AV30="",$AU30=0),"",$AV30/$AU30)</f>
        <v/>
      </c>
      <c r="BM30" s="7" t="str">
        <f aca="false">IF($Z30="","",IF(AND($Z30="Y",$AB30&lt;&gt;"N",$AC30&lt;&gt;"Y"),"Y","N"))</f>
        <v/>
      </c>
      <c r="BN30" s="7" t="str">
        <f aca="false">IF($AH30="","",IF($Z30&lt;&gt;"Y","undefined",IF($AH30&lt;=1,"Y","N")))</f>
        <v/>
      </c>
      <c r="BO30" s="7" t="str">
        <f aca="false">IF($AH30="","",IF($Z30&lt;&gt;"Y","undefined",IF($AH30&lt;=10,"Y","N")))</f>
        <v/>
      </c>
      <c r="BP30" s="7" t="str">
        <f aca="false">IF($AH30="","",IF($Z30&lt;&gt;"Y","undefined",IF($AH30&lt;=100,"Y","N")))</f>
        <v/>
      </c>
    </row>
    <row r="31" customFormat="false" ht="15" hidden="false" customHeight="false" outlineLevel="0" collapsed="false">
      <c r="A31" s="7" t="str">
        <f aca="false">IF($B31="","",$B31&amp;"|"&amp;$C31&amp;"|"&amp;$F31)</f>
        <v/>
      </c>
      <c r="B31" s="5"/>
      <c r="C31" s="5"/>
      <c r="D31" s="5"/>
      <c r="E31" s="5"/>
      <c r="F31" s="5"/>
      <c r="G31" s="5"/>
      <c r="H31" s="5"/>
      <c r="I31" s="5"/>
      <c r="J31" s="20"/>
      <c r="K31" s="20"/>
      <c r="L31" s="28"/>
      <c r="M31" s="20"/>
      <c r="N31" s="28"/>
      <c r="O31" s="19"/>
      <c r="P31" s="19"/>
      <c r="Q31" s="5"/>
      <c r="R31" s="19"/>
      <c r="S31" s="5"/>
      <c r="T31" s="20"/>
      <c r="U31" s="20"/>
      <c r="V31" s="29"/>
      <c r="W31" s="28"/>
      <c r="X31" s="19"/>
      <c r="Y31" s="19"/>
      <c r="Z31" s="5"/>
      <c r="AA31" s="19"/>
      <c r="AB31" s="5"/>
      <c r="AC31" s="5"/>
      <c r="AD31" s="5"/>
      <c r="AE31" s="5"/>
      <c r="AF31" s="30"/>
      <c r="AG31" s="30"/>
      <c r="AH31" s="30"/>
      <c r="AI31" s="30"/>
      <c r="AJ31" s="30"/>
      <c r="AK31" s="30"/>
      <c r="AL31" s="28"/>
      <c r="AM31" s="5"/>
      <c r="AN31" s="19"/>
      <c r="AO31" s="19"/>
      <c r="AP31" s="5"/>
      <c r="AQ31" s="5"/>
      <c r="AR31" s="5"/>
      <c r="AS31" s="5"/>
      <c r="AT31" s="5"/>
      <c r="AU31" s="19"/>
      <c r="AV31" s="19"/>
      <c r="AW31" s="5"/>
      <c r="AX31" s="5"/>
      <c r="AY31" s="19"/>
      <c r="AZ31" s="30"/>
      <c r="BA31" s="5"/>
      <c r="BB31" s="31" t="str">
        <f aca="false">IF(OR($T31="",$M31=""),"",$T31-$M31)</f>
        <v/>
      </c>
      <c r="BC31" s="32" t="str">
        <f aca="false">IF(OR($T31="",$M31="",$M31=0),"",($T31-$M31)/$M31)</f>
        <v/>
      </c>
      <c r="BD31" s="31" t="str">
        <f aca="false">IF(OR($U31="",$M31=""),"",$U31-$M31)</f>
        <v/>
      </c>
      <c r="BE31" s="32" t="str">
        <f aca="false">IF(OR($U31="",$M31="",$M31=0),"",($U31-$M31)/$M31)</f>
        <v/>
      </c>
      <c r="BF31" s="32" t="str">
        <f aca="false">IF(OR($U31="",$J31="",$J31=0),"",($U31-$J31)/$J31)</f>
        <v/>
      </c>
      <c r="BG31" s="32" t="str">
        <f aca="false">IF(OR($M31="",$K31="",$K31=0),"",($M31-$K31)/$K31)</f>
        <v/>
      </c>
      <c r="BH31" s="32" t="str">
        <f aca="false">IF(OR($W31="",$N31="",$N31=0),"",($W31-$N31)/$N31)</f>
        <v/>
      </c>
      <c r="BI31" s="33" t="str">
        <f aca="false">IF(OR($O31="",$X31=""),"",$O31-$X31)</f>
        <v/>
      </c>
      <c r="BJ31" s="33" t="str">
        <f aca="false">IF(OR($P31="",$Y31=""),"",$P31-$Y31)</f>
        <v/>
      </c>
      <c r="BK31" s="34" t="str">
        <f aca="false">IF(OR($AN31="",$AO31="",$AN31=0),"",$AO31/$AN31)</f>
        <v/>
      </c>
      <c r="BL31" s="34" t="str">
        <f aca="false">IF(OR($AU31="",$AV31="",$AU31=0),"",$AV31/$AU31)</f>
        <v/>
      </c>
      <c r="BM31" s="7" t="str">
        <f aca="false">IF($Z31="","",IF(AND($Z31="Y",$AB31&lt;&gt;"N",$AC31&lt;&gt;"Y"),"Y","N"))</f>
        <v/>
      </c>
      <c r="BN31" s="7" t="str">
        <f aca="false">IF($AH31="","",IF($Z31&lt;&gt;"Y","undefined",IF($AH31&lt;=1,"Y","N")))</f>
        <v/>
      </c>
      <c r="BO31" s="7" t="str">
        <f aca="false">IF($AH31="","",IF($Z31&lt;&gt;"Y","undefined",IF($AH31&lt;=10,"Y","N")))</f>
        <v/>
      </c>
      <c r="BP31" s="7" t="str">
        <f aca="false">IF($AH31="","",IF($Z31&lt;&gt;"Y","undefined",IF($AH31&lt;=100,"Y","N")))</f>
        <v/>
      </c>
    </row>
    <row r="32" customFormat="false" ht="15" hidden="false" customHeight="false" outlineLevel="0" collapsed="false">
      <c r="A32" s="7" t="str">
        <f aca="false">IF($B32="","",$B32&amp;"|"&amp;$C32&amp;"|"&amp;$F32)</f>
        <v/>
      </c>
      <c r="B32" s="5"/>
      <c r="C32" s="5"/>
      <c r="D32" s="5"/>
      <c r="E32" s="5"/>
      <c r="F32" s="5"/>
      <c r="G32" s="5"/>
      <c r="H32" s="5"/>
      <c r="I32" s="5"/>
      <c r="J32" s="20"/>
      <c r="K32" s="20"/>
      <c r="L32" s="28"/>
      <c r="M32" s="20"/>
      <c r="N32" s="28"/>
      <c r="O32" s="19"/>
      <c r="P32" s="19"/>
      <c r="Q32" s="5"/>
      <c r="R32" s="19"/>
      <c r="S32" s="5"/>
      <c r="T32" s="20"/>
      <c r="U32" s="20"/>
      <c r="V32" s="29"/>
      <c r="W32" s="28"/>
      <c r="X32" s="19"/>
      <c r="Y32" s="19"/>
      <c r="Z32" s="5"/>
      <c r="AA32" s="19"/>
      <c r="AB32" s="5"/>
      <c r="AC32" s="5"/>
      <c r="AD32" s="5"/>
      <c r="AE32" s="5"/>
      <c r="AF32" s="30"/>
      <c r="AG32" s="30"/>
      <c r="AH32" s="30"/>
      <c r="AI32" s="30"/>
      <c r="AJ32" s="30"/>
      <c r="AK32" s="30"/>
      <c r="AL32" s="28"/>
      <c r="AM32" s="5"/>
      <c r="AN32" s="19"/>
      <c r="AO32" s="19"/>
      <c r="AP32" s="5"/>
      <c r="AQ32" s="5"/>
      <c r="AR32" s="5"/>
      <c r="AS32" s="5"/>
      <c r="AT32" s="5"/>
      <c r="AU32" s="19"/>
      <c r="AV32" s="19"/>
      <c r="AW32" s="5"/>
      <c r="AX32" s="5"/>
      <c r="AY32" s="19"/>
      <c r="AZ32" s="30"/>
      <c r="BA32" s="5"/>
      <c r="BB32" s="31" t="str">
        <f aca="false">IF(OR($T32="",$M32=""),"",$T32-$M32)</f>
        <v/>
      </c>
      <c r="BC32" s="32" t="str">
        <f aca="false">IF(OR($T32="",$M32="",$M32=0),"",($T32-$M32)/$M32)</f>
        <v/>
      </c>
      <c r="BD32" s="31" t="str">
        <f aca="false">IF(OR($U32="",$M32=""),"",$U32-$M32)</f>
        <v/>
      </c>
      <c r="BE32" s="32" t="str">
        <f aca="false">IF(OR($U32="",$M32="",$M32=0),"",($U32-$M32)/$M32)</f>
        <v/>
      </c>
      <c r="BF32" s="32" t="str">
        <f aca="false">IF(OR($U32="",$J32="",$J32=0),"",($U32-$J32)/$J32)</f>
        <v/>
      </c>
      <c r="BG32" s="32" t="str">
        <f aca="false">IF(OR($M32="",$K32="",$K32=0),"",($M32-$K32)/$K32)</f>
        <v/>
      </c>
      <c r="BH32" s="32" t="str">
        <f aca="false">IF(OR($W32="",$N32="",$N32=0),"",($W32-$N32)/$N32)</f>
        <v/>
      </c>
      <c r="BI32" s="33" t="str">
        <f aca="false">IF(OR($O32="",$X32=""),"",$O32-$X32)</f>
        <v/>
      </c>
      <c r="BJ32" s="33" t="str">
        <f aca="false">IF(OR($P32="",$Y32=""),"",$P32-$Y32)</f>
        <v/>
      </c>
      <c r="BK32" s="34" t="str">
        <f aca="false">IF(OR($AN32="",$AO32="",$AN32=0),"",$AO32/$AN32)</f>
        <v/>
      </c>
      <c r="BL32" s="34" t="str">
        <f aca="false">IF(OR($AU32="",$AV32="",$AU32=0),"",$AV32/$AU32)</f>
        <v/>
      </c>
      <c r="BM32" s="7" t="str">
        <f aca="false">IF($Z32="","",IF(AND($Z32="Y",$AB32&lt;&gt;"N",$AC32&lt;&gt;"Y"),"Y","N"))</f>
        <v/>
      </c>
      <c r="BN32" s="7" t="str">
        <f aca="false">IF($AH32="","",IF($Z32&lt;&gt;"Y","undefined",IF($AH32&lt;=1,"Y","N")))</f>
        <v/>
      </c>
      <c r="BO32" s="7" t="str">
        <f aca="false">IF($AH32="","",IF($Z32&lt;&gt;"Y","undefined",IF($AH32&lt;=10,"Y","N")))</f>
        <v/>
      </c>
      <c r="BP32" s="7" t="str">
        <f aca="false">IF($AH32="","",IF($Z32&lt;&gt;"Y","undefined",IF($AH32&lt;=100,"Y","N")))</f>
        <v/>
      </c>
    </row>
    <row r="33" customFormat="false" ht="15" hidden="false" customHeight="false" outlineLevel="0" collapsed="false">
      <c r="A33" s="7" t="str">
        <f aca="false">IF($B33="","",$B33&amp;"|"&amp;$C33&amp;"|"&amp;$F33)</f>
        <v/>
      </c>
      <c r="B33" s="5"/>
      <c r="C33" s="5"/>
      <c r="D33" s="5"/>
      <c r="E33" s="5"/>
      <c r="F33" s="5"/>
      <c r="G33" s="5"/>
      <c r="H33" s="5"/>
      <c r="I33" s="5"/>
      <c r="J33" s="20"/>
      <c r="K33" s="20"/>
      <c r="L33" s="28"/>
      <c r="M33" s="20"/>
      <c r="N33" s="28"/>
      <c r="O33" s="19"/>
      <c r="P33" s="19"/>
      <c r="Q33" s="5"/>
      <c r="R33" s="19"/>
      <c r="S33" s="5"/>
      <c r="T33" s="20"/>
      <c r="U33" s="20"/>
      <c r="V33" s="29"/>
      <c r="W33" s="28"/>
      <c r="X33" s="19"/>
      <c r="Y33" s="19"/>
      <c r="Z33" s="5"/>
      <c r="AA33" s="19"/>
      <c r="AB33" s="5"/>
      <c r="AC33" s="5"/>
      <c r="AD33" s="5"/>
      <c r="AE33" s="5"/>
      <c r="AF33" s="30"/>
      <c r="AG33" s="30"/>
      <c r="AH33" s="30"/>
      <c r="AI33" s="30"/>
      <c r="AJ33" s="30"/>
      <c r="AK33" s="30"/>
      <c r="AL33" s="28"/>
      <c r="AM33" s="5"/>
      <c r="AN33" s="19"/>
      <c r="AO33" s="19"/>
      <c r="AP33" s="5"/>
      <c r="AQ33" s="5"/>
      <c r="AR33" s="5"/>
      <c r="AS33" s="5"/>
      <c r="AT33" s="5"/>
      <c r="AU33" s="19"/>
      <c r="AV33" s="19"/>
      <c r="AW33" s="5"/>
      <c r="AX33" s="5"/>
      <c r="AY33" s="19"/>
      <c r="AZ33" s="30"/>
      <c r="BA33" s="5"/>
      <c r="BB33" s="31" t="str">
        <f aca="false">IF(OR($T33="",$M33=""),"",$T33-$M33)</f>
        <v/>
      </c>
      <c r="BC33" s="32" t="str">
        <f aca="false">IF(OR($T33="",$M33="",$M33=0),"",($T33-$M33)/$M33)</f>
        <v/>
      </c>
      <c r="BD33" s="31" t="str">
        <f aca="false">IF(OR($U33="",$M33=""),"",$U33-$M33)</f>
        <v/>
      </c>
      <c r="BE33" s="32" t="str">
        <f aca="false">IF(OR($U33="",$M33="",$M33=0),"",($U33-$M33)/$M33)</f>
        <v/>
      </c>
      <c r="BF33" s="32" t="str">
        <f aca="false">IF(OR($U33="",$J33="",$J33=0),"",($U33-$J33)/$J33)</f>
        <v/>
      </c>
      <c r="BG33" s="32" t="str">
        <f aca="false">IF(OR($M33="",$K33="",$K33=0),"",($M33-$K33)/$K33)</f>
        <v/>
      </c>
      <c r="BH33" s="32" t="str">
        <f aca="false">IF(OR($W33="",$N33="",$N33=0),"",($W33-$N33)/$N33)</f>
        <v/>
      </c>
      <c r="BI33" s="33" t="str">
        <f aca="false">IF(OR($O33="",$X33=""),"",$O33-$X33)</f>
        <v/>
      </c>
      <c r="BJ33" s="33" t="str">
        <f aca="false">IF(OR($P33="",$Y33=""),"",$P33-$Y33)</f>
        <v/>
      </c>
      <c r="BK33" s="34" t="str">
        <f aca="false">IF(OR($AN33="",$AO33="",$AN33=0),"",$AO33/$AN33)</f>
        <v/>
      </c>
      <c r="BL33" s="34" t="str">
        <f aca="false">IF(OR($AU33="",$AV33="",$AU33=0),"",$AV33/$AU33)</f>
        <v/>
      </c>
      <c r="BM33" s="7" t="str">
        <f aca="false">IF($Z33="","",IF(AND($Z33="Y",$AB33&lt;&gt;"N",$AC33&lt;&gt;"Y"),"Y","N"))</f>
        <v/>
      </c>
      <c r="BN33" s="7" t="str">
        <f aca="false">IF($AH33="","",IF($Z33&lt;&gt;"Y","undefined",IF($AH33&lt;=1,"Y","N")))</f>
        <v/>
      </c>
      <c r="BO33" s="7" t="str">
        <f aca="false">IF($AH33="","",IF($Z33&lt;&gt;"Y","undefined",IF($AH33&lt;=10,"Y","N")))</f>
        <v/>
      </c>
      <c r="BP33" s="7" t="str">
        <f aca="false">IF($AH33="","",IF($Z33&lt;&gt;"Y","undefined",IF($AH33&lt;=100,"Y","N")))</f>
        <v/>
      </c>
    </row>
    <row r="34" customFormat="false" ht="15" hidden="false" customHeight="false" outlineLevel="0" collapsed="false">
      <c r="A34" s="7" t="str">
        <f aca="false">IF($B34="","",$B34&amp;"|"&amp;$C34&amp;"|"&amp;$F34)</f>
        <v/>
      </c>
      <c r="B34" s="5"/>
      <c r="C34" s="5"/>
      <c r="D34" s="5"/>
      <c r="E34" s="5"/>
      <c r="F34" s="5"/>
      <c r="G34" s="5"/>
      <c r="H34" s="5"/>
      <c r="I34" s="5"/>
      <c r="J34" s="20"/>
      <c r="K34" s="20"/>
      <c r="L34" s="28"/>
      <c r="M34" s="20"/>
      <c r="N34" s="28"/>
      <c r="O34" s="19"/>
      <c r="P34" s="19"/>
      <c r="Q34" s="5"/>
      <c r="R34" s="19"/>
      <c r="S34" s="5"/>
      <c r="T34" s="20"/>
      <c r="U34" s="20"/>
      <c r="V34" s="29"/>
      <c r="W34" s="28"/>
      <c r="X34" s="19"/>
      <c r="Y34" s="19"/>
      <c r="Z34" s="5"/>
      <c r="AA34" s="19"/>
      <c r="AB34" s="5"/>
      <c r="AC34" s="5"/>
      <c r="AD34" s="5"/>
      <c r="AE34" s="5"/>
      <c r="AF34" s="30"/>
      <c r="AG34" s="30"/>
      <c r="AH34" s="30"/>
      <c r="AI34" s="30"/>
      <c r="AJ34" s="30"/>
      <c r="AK34" s="30"/>
      <c r="AL34" s="28"/>
      <c r="AM34" s="5"/>
      <c r="AN34" s="19"/>
      <c r="AO34" s="19"/>
      <c r="AP34" s="5"/>
      <c r="AQ34" s="5"/>
      <c r="AR34" s="5"/>
      <c r="AS34" s="5"/>
      <c r="AT34" s="5"/>
      <c r="AU34" s="19"/>
      <c r="AV34" s="19"/>
      <c r="AW34" s="5"/>
      <c r="AX34" s="5"/>
      <c r="AY34" s="19"/>
      <c r="AZ34" s="30"/>
      <c r="BA34" s="5"/>
      <c r="BB34" s="31" t="str">
        <f aca="false">IF(OR($T34="",$M34=""),"",$T34-$M34)</f>
        <v/>
      </c>
      <c r="BC34" s="32" t="str">
        <f aca="false">IF(OR($T34="",$M34="",$M34=0),"",($T34-$M34)/$M34)</f>
        <v/>
      </c>
      <c r="BD34" s="31" t="str">
        <f aca="false">IF(OR($U34="",$M34=""),"",$U34-$M34)</f>
        <v/>
      </c>
      <c r="BE34" s="32" t="str">
        <f aca="false">IF(OR($U34="",$M34="",$M34=0),"",($U34-$M34)/$M34)</f>
        <v/>
      </c>
      <c r="BF34" s="32" t="str">
        <f aca="false">IF(OR($U34="",$J34="",$J34=0),"",($U34-$J34)/$J34)</f>
        <v/>
      </c>
      <c r="BG34" s="32" t="str">
        <f aca="false">IF(OR($M34="",$K34="",$K34=0),"",($M34-$K34)/$K34)</f>
        <v/>
      </c>
      <c r="BH34" s="32" t="str">
        <f aca="false">IF(OR($W34="",$N34="",$N34=0),"",($W34-$N34)/$N34)</f>
        <v/>
      </c>
      <c r="BI34" s="33" t="str">
        <f aca="false">IF(OR($O34="",$X34=""),"",$O34-$X34)</f>
        <v/>
      </c>
      <c r="BJ34" s="33" t="str">
        <f aca="false">IF(OR($P34="",$Y34=""),"",$P34-$Y34)</f>
        <v/>
      </c>
      <c r="BK34" s="34" t="str">
        <f aca="false">IF(OR($AN34="",$AO34="",$AN34=0),"",$AO34/$AN34)</f>
        <v/>
      </c>
      <c r="BL34" s="34" t="str">
        <f aca="false">IF(OR($AU34="",$AV34="",$AU34=0),"",$AV34/$AU34)</f>
        <v/>
      </c>
      <c r="BM34" s="7" t="str">
        <f aca="false">IF($Z34="","",IF(AND($Z34="Y",$AB34&lt;&gt;"N",$AC34&lt;&gt;"Y"),"Y","N"))</f>
        <v/>
      </c>
      <c r="BN34" s="7" t="str">
        <f aca="false">IF($AH34="","",IF($Z34&lt;&gt;"Y","undefined",IF($AH34&lt;=1,"Y","N")))</f>
        <v/>
      </c>
      <c r="BO34" s="7" t="str">
        <f aca="false">IF($AH34="","",IF($Z34&lt;&gt;"Y","undefined",IF($AH34&lt;=10,"Y","N")))</f>
        <v/>
      </c>
      <c r="BP34" s="7" t="str">
        <f aca="false">IF($AH34="","",IF($Z34&lt;&gt;"Y","undefined",IF($AH34&lt;=100,"Y","N")))</f>
        <v/>
      </c>
    </row>
    <row r="35" customFormat="false" ht="15" hidden="false" customHeight="false" outlineLevel="0" collapsed="false">
      <c r="A35" s="7" t="str">
        <f aca="false">IF($B35="","",$B35&amp;"|"&amp;$C35&amp;"|"&amp;$F35)</f>
        <v/>
      </c>
      <c r="B35" s="5"/>
      <c r="C35" s="5"/>
      <c r="D35" s="5"/>
      <c r="E35" s="5"/>
      <c r="F35" s="5"/>
      <c r="G35" s="5"/>
      <c r="H35" s="5"/>
      <c r="I35" s="5"/>
      <c r="J35" s="20"/>
      <c r="K35" s="20"/>
      <c r="L35" s="28"/>
      <c r="M35" s="20"/>
      <c r="N35" s="28"/>
      <c r="O35" s="19"/>
      <c r="P35" s="19"/>
      <c r="Q35" s="5"/>
      <c r="R35" s="19"/>
      <c r="S35" s="5"/>
      <c r="T35" s="20"/>
      <c r="U35" s="20"/>
      <c r="V35" s="29"/>
      <c r="W35" s="28"/>
      <c r="X35" s="19"/>
      <c r="Y35" s="19"/>
      <c r="Z35" s="5"/>
      <c r="AA35" s="19"/>
      <c r="AB35" s="5"/>
      <c r="AC35" s="5"/>
      <c r="AD35" s="5"/>
      <c r="AE35" s="5"/>
      <c r="AF35" s="30"/>
      <c r="AG35" s="30"/>
      <c r="AH35" s="30"/>
      <c r="AI35" s="30"/>
      <c r="AJ35" s="30"/>
      <c r="AK35" s="30"/>
      <c r="AL35" s="28"/>
      <c r="AM35" s="5"/>
      <c r="AN35" s="19"/>
      <c r="AO35" s="19"/>
      <c r="AP35" s="5"/>
      <c r="AQ35" s="5"/>
      <c r="AR35" s="5"/>
      <c r="AS35" s="5"/>
      <c r="AT35" s="5"/>
      <c r="AU35" s="19"/>
      <c r="AV35" s="19"/>
      <c r="AW35" s="5"/>
      <c r="AX35" s="5"/>
      <c r="AY35" s="19"/>
      <c r="AZ35" s="30"/>
      <c r="BA35" s="5"/>
      <c r="BB35" s="31" t="str">
        <f aca="false">IF(OR($T35="",$M35=""),"",$T35-$M35)</f>
        <v/>
      </c>
      <c r="BC35" s="32" t="str">
        <f aca="false">IF(OR($T35="",$M35="",$M35=0),"",($T35-$M35)/$M35)</f>
        <v/>
      </c>
      <c r="BD35" s="31" t="str">
        <f aca="false">IF(OR($U35="",$M35=""),"",$U35-$M35)</f>
        <v/>
      </c>
      <c r="BE35" s="32" t="str">
        <f aca="false">IF(OR($U35="",$M35="",$M35=0),"",($U35-$M35)/$M35)</f>
        <v/>
      </c>
      <c r="BF35" s="32" t="str">
        <f aca="false">IF(OR($U35="",$J35="",$J35=0),"",($U35-$J35)/$J35)</f>
        <v/>
      </c>
      <c r="BG35" s="32" t="str">
        <f aca="false">IF(OR($M35="",$K35="",$K35=0),"",($M35-$K35)/$K35)</f>
        <v/>
      </c>
      <c r="BH35" s="32" t="str">
        <f aca="false">IF(OR($W35="",$N35="",$N35=0),"",($W35-$N35)/$N35)</f>
        <v/>
      </c>
      <c r="BI35" s="33" t="str">
        <f aca="false">IF(OR($O35="",$X35=""),"",$O35-$X35)</f>
        <v/>
      </c>
      <c r="BJ35" s="33" t="str">
        <f aca="false">IF(OR($P35="",$Y35=""),"",$P35-$Y35)</f>
        <v/>
      </c>
      <c r="BK35" s="34" t="str">
        <f aca="false">IF(OR($AN35="",$AO35="",$AN35=0),"",$AO35/$AN35)</f>
        <v/>
      </c>
      <c r="BL35" s="34" t="str">
        <f aca="false">IF(OR($AU35="",$AV35="",$AU35=0),"",$AV35/$AU35)</f>
        <v/>
      </c>
      <c r="BM35" s="7" t="str">
        <f aca="false">IF($Z35="","",IF(AND($Z35="Y",$AB35&lt;&gt;"N",$AC35&lt;&gt;"Y"),"Y","N"))</f>
        <v/>
      </c>
      <c r="BN35" s="7" t="str">
        <f aca="false">IF($AH35="","",IF($Z35&lt;&gt;"Y","undefined",IF($AH35&lt;=1,"Y","N")))</f>
        <v/>
      </c>
      <c r="BO35" s="7" t="str">
        <f aca="false">IF($AH35="","",IF($Z35&lt;&gt;"Y","undefined",IF($AH35&lt;=10,"Y","N")))</f>
        <v/>
      </c>
      <c r="BP35" s="7" t="str">
        <f aca="false">IF($AH35="","",IF($Z35&lt;&gt;"Y","undefined",IF($AH35&lt;=100,"Y","N")))</f>
        <v/>
      </c>
    </row>
    <row r="36" customFormat="false" ht="15" hidden="false" customHeight="false" outlineLevel="0" collapsed="false">
      <c r="A36" s="7" t="str">
        <f aca="false">IF($B36="","",$B36&amp;"|"&amp;$C36&amp;"|"&amp;$F36)</f>
        <v/>
      </c>
      <c r="B36" s="5"/>
      <c r="C36" s="5"/>
      <c r="D36" s="5"/>
      <c r="E36" s="5"/>
      <c r="F36" s="5"/>
      <c r="G36" s="5"/>
      <c r="H36" s="5"/>
      <c r="I36" s="5"/>
      <c r="J36" s="20"/>
      <c r="K36" s="20"/>
      <c r="L36" s="28"/>
      <c r="M36" s="20"/>
      <c r="N36" s="28"/>
      <c r="O36" s="19"/>
      <c r="P36" s="19"/>
      <c r="Q36" s="5"/>
      <c r="R36" s="19"/>
      <c r="S36" s="5"/>
      <c r="T36" s="20"/>
      <c r="U36" s="20"/>
      <c r="V36" s="29"/>
      <c r="W36" s="28"/>
      <c r="X36" s="19"/>
      <c r="Y36" s="19"/>
      <c r="Z36" s="5"/>
      <c r="AA36" s="19"/>
      <c r="AB36" s="5"/>
      <c r="AC36" s="5"/>
      <c r="AD36" s="5"/>
      <c r="AE36" s="5"/>
      <c r="AF36" s="30"/>
      <c r="AG36" s="30"/>
      <c r="AH36" s="30"/>
      <c r="AI36" s="30"/>
      <c r="AJ36" s="30"/>
      <c r="AK36" s="30"/>
      <c r="AL36" s="28"/>
      <c r="AM36" s="5"/>
      <c r="AN36" s="19"/>
      <c r="AO36" s="19"/>
      <c r="AP36" s="5"/>
      <c r="AQ36" s="5"/>
      <c r="AR36" s="5"/>
      <c r="AS36" s="5"/>
      <c r="AT36" s="5"/>
      <c r="AU36" s="19"/>
      <c r="AV36" s="19"/>
      <c r="AW36" s="5"/>
      <c r="AX36" s="5"/>
      <c r="AY36" s="19"/>
      <c r="AZ36" s="30"/>
      <c r="BA36" s="5"/>
      <c r="BB36" s="31" t="str">
        <f aca="false">IF(OR($T36="",$M36=""),"",$T36-$M36)</f>
        <v/>
      </c>
      <c r="BC36" s="32" t="str">
        <f aca="false">IF(OR($T36="",$M36="",$M36=0),"",($T36-$M36)/$M36)</f>
        <v/>
      </c>
      <c r="BD36" s="31" t="str">
        <f aca="false">IF(OR($U36="",$M36=""),"",$U36-$M36)</f>
        <v/>
      </c>
      <c r="BE36" s="32" t="str">
        <f aca="false">IF(OR($U36="",$M36="",$M36=0),"",($U36-$M36)/$M36)</f>
        <v/>
      </c>
      <c r="BF36" s="32" t="str">
        <f aca="false">IF(OR($U36="",$J36="",$J36=0),"",($U36-$J36)/$J36)</f>
        <v/>
      </c>
      <c r="BG36" s="32" t="str">
        <f aca="false">IF(OR($M36="",$K36="",$K36=0),"",($M36-$K36)/$K36)</f>
        <v/>
      </c>
      <c r="BH36" s="32" t="str">
        <f aca="false">IF(OR($W36="",$N36="",$N36=0),"",($W36-$N36)/$N36)</f>
        <v/>
      </c>
      <c r="BI36" s="33" t="str">
        <f aca="false">IF(OR($O36="",$X36=""),"",$O36-$X36)</f>
        <v/>
      </c>
      <c r="BJ36" s="33" t="str">
        <f aca="false">IF(OR($P36="",$Y36=""),"",$P36-$Y36)</f>
        <v/>
      </c>
      <c r="BK36" s="34" t="str">
        <f aca="false">IF(OR($AN36="",$AO36="",$AN36=0),"",$AO36/$AN36)</f>
        <v/>
      </c>
      <c r="BL36" s="34" t="str">
        <f aca="false">IF(OR($AU36="",$AV36="",$AU36=0),"",$AV36/$AU36)</f>
        <v/>
      </c>
      <c r="BM36" s="7" t="str">
        <f aca="false">IF($Z36="","",IF(AND($Z36="Y",$AB36&lt;&gt;"N",$AC36&lt;&gt;"Y"),"Y","N"))</f>
        <v/>
      </c>
      <c r="BN36" s="7" t="str">
        <f aca="false">IF($AH36="","",IF($Z36&lt;&gt;"Y","undefined",IF($AH36&lt;=1,"Y","N")))</f>
        <v/>
      </c>
      <c r="BO36" s="7" t="str">
        <f aca="false">IF($AH36="","",IF($Z36&lt;&gt;"Y","undefined",IF($AH36&lt;=10,"Y","N")))</f>
        <v/>
      </c>
      <c r="BP36" s="7" t="str">
        <f aca="false">IF($AH36="","",IF($Z36&lt;&gt;"Y","undefined",IF($AH36&lt;=100,"Y","N")))</f>
        <v/>
      </c>
    </row>
    <row r="37" customFormat="false" ht="15" hidden="false" customHeight="false" outlineLevel="0" collapsed="false">
      <c r="A37" s="7" t="str">
        <f aca="false">IF($B37="","",$B37&amp;"|"&amp;$C37&amp;"|"&amp;$F37)</f>
        <v/>
      </c>
      <c r="B37" s="5"/>
      <c r="C37" s="5"/>
      <c r="D37" s="5"/>
      <c r="E37" s="5"/>
      <c r="F37" s="5"/>
      <c r="G37" s="5"/>
      <c r="H37" s="5"/>
      <c r="I37" s="5"/>
      <c r="J37" s="20"/>
      <c r="K37" s="20"/>
      <c r="L37" s="28"/>
      <c r="M37" s="20"/>
      <c r="N37" s="28"/>
      <c r="O37" s="19"/>
      <c r="P37" s="19"/>
      <c r="Q37" s="5"/>
      <c r="R37" s="19"/>
      <c r="S37" s="5"/>
      <c r="T37" s="20"/>
      <c r="U37" s="20"/>
      <c r="V37" s="29"/>
      <c r="W37" s="28"/>
      <c r="X37" s="19"/>
      <c r="Y37" s="19"/>
      <c r="Z37" s="5"/>
      <c r="AA37" s="19"/>
      <c r="AB37" s="5"/>
      <c r="AC37" s="5"/>
      <c r="AD37" s="5"/>
      <c r="AE37" s="5"/>
      <c r="AF37" s="30"/>
      <c r="AG37" s="30"/>
      <c r="AH37" s="30"/>
      <c r="AI37" s="30"/>
      <c r="AJ37" s="30"/>
      <c r="AK37" s="30"/>
      <c r="AL37" s="28"/>
      <c r="AM37" s="5"/>
      <c r="AN37" s="19"/>
      <c r="AO37" s="19"/>
      <c r="AP37" s="5"/>
      <c r="AQ37" s="5"/>
      <c r="AR37" s="5"/>
      <c r="AS37" s="5"/>
      <c r="AT37" s="5"/>
      <c r="AU37" s="19"/>
      <c r="AV37" s="19"/>
      <c r="AW37" s="5"/>
      <c r="AX37" s="5"/>
      <c r="AY37" s="19"/>
      <c r="AZ37" s="30"/>
      <c r="BA37" s="5"/>
      <c r="BB37" s="31" t="str">
        <f aca="false">IF(OR($T37="",$M37=""),"",$T37-$M37)</f>
        <v/>
      </c>
      <c r="BC37" s="32" t="str">
        <f aca="false">IF(OR($T37="",$M37="",$M37=0),"",($T37-$M37)/$M37)</f>
        <v/>
      </c>
      <c r="BD37" s="31" t="str">
        <f aca="false">IF(OR($U37="",$M37=""),"",$U37-$M37)</f>
        <v/>
      </c>
      <c r="BE37" s="32" t="str">
        <f aca="false">IF(OR($U37="",$M37="",$M37=0),"",($U37-$M37)/$M37)</f>
        <v/>
      </c>
      <c r="BF37" s="32" t="str">
        <f aca="false">IF(OR($U37="",$J37="",$J37=0),"",($U37-$J37)/$J37)</f>
        <v/>
      </c>
      <c r="BG37" s="32" t="str">
        <f aca="false">IF(OR($M37="",$K37="",$K37=0),"",($M37-$K37)/$K37)</f>
        <v/>
      </c>
      <c r="BH37" s="32" t="str">
        <f aca="false">IF(OR($W37="",$N37="",$N37=0),"",($W37-$N37)/$N37)</f>
        <v/>
      </c>
      <c r="BI37" s="33" t="str">
        <f aca="false">IF(OR($O37="",$X37=""),"",$O37-$X37)</f>
        <v/>
      </c>
      <c r="BJ37" s="33" t="str">
        <f aca="false">IF(OR($P37="",$Y37=""),"",$P37-$Y37)</f>
        <v/>
      </c>
      <c r="BK37" s="34" t="str">
        <f aca="false">IF(OR($AN37="",$AO37="",$AN37=0),"",$AO37/$AN37)</f>
        <v/>
      </c>
      <c r="BL37" s="34" t="str">
        <f aca="false">IF(OR($AU37="",$AV37="",$AU37=0),"",$AV37/$AU37)</f>
        <v/>
      </c>
      <c r="BM37" s="7" t="str">
        <f aca="false">IF($Z37="","",IF(AND($Z37="Y",$AB37&lt;&gt;"N",$AC37&lt;&gt;"Y"),"Y","N"))</f>
        <v/>
      </c>
      <c r="BN37" s="7" t="str">
        <f aca="false">IF($AH37="","",IF($Z37&lt;&gt;"Y","undefined",IF($AH37&lt;=1,"Y","N")))</f>
        <v/>
      </c>
      <c r="BO37" s="7" t="str">
        <f aca="false">IF($AH37="","",IF($Z37&lt;&gt;"Y","undefined",IF($AH37&lt;=10,"Y","N")))</f>
        <v/>
      </c>
      <c r="BP37" s="7" t="str">
        <f aca="false">IF($AH37="","",IF($Z37&lt;&gt;"Y","undefined",IF($AH37&lt;=100,"Y","N")))</f>
        <v/>
      </c>
    </row>
    <row r="38" customFormat="false" ht="15" hidden="false" customHeight="false" outlineLevel="0" collapsed="false">
      <c r="A38" s="7" t="str">
        <f aca="false">IF($B38="","",$B38&amp;"|"&amp;$C38&amp;"|"&amp;$F38)</f>
        <v/>
      </c>
      <c r="B38" s="5"/>
      <c r="C38" s="5"/>
      <c r="D38" s="5"/>
      <c r="E38" s="5"/>
      <c r="F38" s="5"/>
      <c r="G38" s="5"/>
      <c r="H38" s="5"/>
      <c r="I38" s="5"/>
      <c r="J38" s="20"/>
      <c r="K38" s="20"/>
      <c r="L38" s="28"/>
      <c r="M38" s="20"/>
      <c r="N38" s="28"/>
      <c r="O38" s="19"/>
      <c r="P38" s="19"/>
      <c r="Q38" s="5"/>
      <c r="R38" s="19"/>
      <c r="S38" s="5"/>
      <c r="T38" s="20"/>
      <c r="U38" s="20"/>
      <c r="V38" s="29"/>
      <c r="W38" s="28"/>
      <c r="X38" s="19"/>
      <c r="Y38" s="19"/>
      <c r="Z38" s="5"/>
      <c r="AA38" s="19"/>
      <c r="AB38" s="5"/>
      <c r="AC38" s="5"/>
      <c r="AD38" s="5"/>
      <c r="AE38" s="5"/>
      <c r="AF38" s="30"/>
      <c r="AG38" s="30"/>
      <c r="AH38" s="30"/>
      <c r="AI38" s="30"/>
      <c r="AJ38" s="30"/>
      <c r="AK38" s="30"/>
      <c r="AL38" s="28"/>
      <c r="AM38" s="5"/>
      <c r="AN38" s="19"/>
      <c r="AO38" s="19"/>
      <c r="AP38" s="5"/>
      <c r="AQ38" s="5"/>
      <c r="AR38" s="5"/>
      <c r="AS38" s="5"/>
      <c r="AT38" s="5"/>
      <c r="AU38" s="19"/>
      <c r="AV38" s="19"/>
      <c r="AW38" s="5"/>
      <c r="AX38" s="5"/>
      <c r="AY38" s="19"/>
      <c r="AZ38" s="30"/>
      <c r="BA38" s="5"/>
      <c r="BB38" s="31" t="str">
        <f aca="false">IF(OR($T38="",$M38=""),"",$T38-$M38)</f>
        <v/>
      </c>
      <c r="BC38" s="32" t="str">
        <f aca="false">IF(OR($T38="",$M38="",$M38=0),"",($T38-$M38)/$M38)</f>
        <v/>
      </c>
      <c r="BD38" s="31" t="str">
        <f aca="false">IF(OR($U38="",$M38=""),"",$U38-$M38)</f>
        <v/>
      </c>
      <c r="BE38" s="32" t="str">
        <f aca="false">IF(OR($U38="",$M38="",$M38=0),"",($U38-$M38)/$M38)</f>
        <v/>
      </c>
      <c r="BF38" s="32" t="str">
        <f aca="false">IF(OR($U38="",$J38="",$J38=0),"",($U38-$J38)/$J38)</f>
        <v/>
      </c>
      <c r="BG38" s="32" t="str">
        <f aca="false">IF(OR($M38="",$K38="",$K38=0),"",($M38-$K38)/$K38)</f>
        <v/>
      </c>
      <c r="BH38" s="32" t="str">
        <f aca="false">IF(OR($W38="",$N38="",$N38=0),"",($W38-$N38)/$N38)</f>
        <v/>
      </c>
      <c r="BI38" s="33" t="str">
        <f aca="false">IF(OR($O38="",$X38=""),"",$O38-$X38)</f>
        <v/>
      </c>
      <c r="BJ38" s="33" t="str">
        <f aca="false">IF(OR($P38="",$Y38=""),"",$P38-$Y38)</f>
        <v/>
      </c>
      <c r="BK38" s="34" t="str">
        <f aca="false">IF(OR($AN38="",$AO38="",$AN38=0),"",$AO38/$AN38)</f>
        <v/>
      </c>
      <c r="BL38" s="34" t="str">
        <f aca="false">IF(OR($AU38="",$AV38="",$AU38=0),"",$AV38/$AU38)</f>
        <v/>
      </c>
      <c r="BM38" s="7" t="str">
        <f aca="false">IF($Z38="","",IF(AND($Z38="Y",$AB38&lt;&gt;"N",$AC38&lt;&gt;"Y"),"Y","N"))</f>
        <v/>
      </c>
      <c r="BN38" s="7" t="str">
        <f aca="false">IF($AH38="","",IF($Z38&lt;&gt;"Y","undefined",IF($AH38&lt;=1,"Y","N")))</f>
        <v/>
      </c>
      <c r="BO38" s="7" t="str">
        <f aca="false">IF($AH38="","",IF($Z38&lt;&gt;"Y","undefined",IF($AH38&lt;=10,"Y","N")))</f>
        <v/>
      </c>
      <c r="BP38" s="7" t="str">
        <f aca="false">IF($AH38="","",IF($Z38&lt;&gt;"Y","undefined",IF($AH38&lt;=100,"Y","N")))</f>
        <v/>
      </c>
    </row>
    <row r="39" customFormat="false" ht="15" hidden="false" customHeight="false" outlineLevel="0" collapsed="false">
      <c r="A39" s="7" t="str">
        <f aca="false">IF($B39="","",$B39&amp;"|"&amp;$C39&amp;"|"&amp;$F39)</f>
        <v/>
      </c>
      <c r="B39" s="5"/>
      <c r="C39" s="5"/>
      <c r="D39" s="5"/>
      <c r="E39" s="5"/>
      <c r="F39" s="5"/>
      <c r="G39" s="5"/>
      <c r="H39" s="5"/>
      <c r="I39" s="5"/>
      <c r="J39" s="20"/>
      <c r="K39" s="20"/>
      <c r="L39" s="28"/>
      <c r="M39" s="20"/>
      <c r="N39" s="28"/>
      <c r="O39" s="19"/>
      <c r="P39" s="19"/>
      <c r="Q39" s="5"/>
      <c r="R39" s="19"/>
      <c r="S39" s="5"/>
      <c r="T39" s="20"/>
      <c r="U39" s="20"/>
      <c r="V39" s="29"/>
      <c r="W39" s="28"/>
      <c r="X39" s="19"/>
      <c r="Y39" s="19"/>
      <c r="Z39" s="5"/>
      <c r="AA39" s="19"/>
      <c r="AB39" s="5"/>
      <c r="AC39" s="5"/>
      <c r="AD39" s="5"/>
      <c r="AE39" s="5"/>
      <c r="AF39" s="30"/>
      <c r="AG39" s="30"/>
      <c r="AH39" s="30"/>
      <c r="AI39" s="30"/>
      <c r="AJ39" s="30"/>
      <c r="AK39" s="30"/>
      <c r="AL39" s="28"/>
      <c r="AM39" s="5"/>
      <c r="AN39" s="19"/>
      <c r="AO39" s="19"/>
      <c r="AP39" s="5"/>
      <c r="AQ39" s="5"/>
      <c r="AR39" s="5"/>
      <c r="AS39" s="5"/>
      <c r="AT39" s="5"/>
      <c r="AU39" s="19"/>
      <c r="AV39" s="19"/>
      <c r="AW39" s="5"/>
      <c r="AX39" s="5"/>
      <c r="AY39" s="19"/>
      <c r="AZ39" s="30"/>
      <c r="BA39" s="5"/>
      <c r="BB39" s="31" t="str">
        <f aca="false">IF(OR($T39="",$M39=""),"",$T39-$M39)</f>
        <v/>
      </c>
      <c r="BC39" s="32" t="str">
        <f aca="false">IF(OR($T39="",$M39="",$M39=0),"",($T39-$M39)/$M39)</f>
        <v/>
      </c>
      <c r="BD39" s="31" t="str">
        <f aca="false">IF(OR($U39="",$M39=""),"",$U39-$M39)</f>
        <v/>
      </c>
      <c r="BE39" s="32" t="str">
        <f aca="false">IF(OR($U39="",$M39="",$M39=0),"",($U39-$M39)/$M39)</f>
        <v/>
      </c>
      <c r="BF39" s="32" t="str">
        <f aca="false">IF(OR($U39="",$J39="",$J39=0),"",($U39-$J39)/$J39)</f>
        <v/>
      </c>
      <c r="BG39" s="32" t="str">
        <f aca="false">IF(OR($M39="",$K39="",$K39=0),"",($M39-$K39)/$K39)</f>
        <v/>
      </c>
      <c r="BH39" s="32" t="str">
        <f aca="false">IF(OR($W39="",$N39="",$N39=0),"",($W39-$N39)/$N39)</f>
        <v/>
      </c>
      <c r="BI39" s="33" t="str">
        <f aca="false">IF(OR($O39="",$X39=""),"",$O39-$X39)</f>
        <v/>
      </c>
      <c r="BJ39" s="33" t="str">
        <f aca="false">IF(OR($P39="",$Y39=""),"",$P39-$Y39)</f>
        <v/>
      </c>
      <c r="BK39" s="34" t="str">
        <f aca="false">IF(OR($AN39="",$AO39="",$AN39=0),"",$AO39/$AN39)</f>
        <v/>
      </c>
      <c r="BL39" s="34" t="str">
        <f aca="false">IF(OR($AU39="",$AV39="",$AU39=0),"",$AV39/$AU39)</f>
        <v/>
      </c>
      <c r="BM39" s="7" t="str">
        <f aca="false">IF($Z39="","",IF(AND($Z39="Y",$AB39&lt;&gt;"N",$AC39&lt;&gt;"Y"),"Y","N"))</f>
        <v/>
      </c>
      <c r="BN39" s="7" t="str">
        <f aca="false">IF($AH39="","",IF($Z39&lt;&gt;"Y","undefined",IF($AH39&lt;=1,"Y","N")))</f>
        <v/>
      </c>
      <c r="BO39" s="7" t="str">
        <f aca="false">IF($AH39="","",IF($Z39&lt;&gt;"Y","undefined",IF($AH39&lt;=10,"Y","N")))</f>
        <v/>
      </c>
      <c r="BP39" s="7" t="str">
        <f aca="false">IF($AH39="","",IF($Z39&lt;&gt;"Y","undefined",IF($AH39&lt;=100,"Y","N")))</f>
        <v/>
      </c>
    </row>
    <row r="40" customFormat="false" ht="15" hidden="false" customHeight="false" outlineLevel="0" collapsed="false">
      <c r="A40" s="7" t="str">
        <f aca="false">IF($B40="","",$B40&amp;"|"&amp;$C40&amp;"|"&amp;$F40)</f>
        <v/>
      </c>
      <c r="B40" s="5"/>
      <c r="C40" s="5"/>
      <c r="D40" s="5"/>
      <c r="E40" s="5"/>
      <c r="F40" s="5"/>
      <c r="G40" s="5"/>
      <c r="H40" s="5"/>
      <c r="I40" s="5"/>
      <c r="J40" s="20"/>
      <c r="K40" s="20"/>
      <c r="L40" s="28"/>
      <c r="M40" s="20"/>
      <c r="N40" s="28"/>
      <c r="O40" s="19"/>
      <c r="P40" s="19"/>
      <c r="Q40" s="5"/>
      <c r="R40" s="19"/>
      <c r="S40" s="5"/>
      <c r="T40" s="20"/>
      <c r="U40" s="20"/>
      <c r="V40" s="29"/>
      <c r="W40" s="28"/>
      <c r="X40" s="19"/>
      <c r="Y40" s="19"/>
      <c r="Z40" s="5"/>
      <c r="AA40" s="19"/>
      <c r="AB40" s="5"/>
      <c r="AC40" s="5"/>
      <c r="AD40" s="5"/>
      <c r="AE40" s="5"/>
      <c r="AF40" s="30"/>
      <c r="AG40" s="30"/>
      <c r="AH40" s="30"/>
      <c r="AI40" s="30"/>
      <c r="AJ40" s="30"/>
      <c r="AK40" s="30"/>
      <c r="AL40" s="28"/>
      <c r="AM40" s="5"/>
      <c r="AN40" s="19"/>
      <c r="AO40" s="19"/>
      <c r="AP40" s="5"/>
      <c r="AQ40" s="5"/>
      <c r="AR40" s="5"/>
      <c r="AS40" s="5"/>
      <c r="AT40" s="5"/>
      <c r="AU40" s="19"/>
      <c r="AV40" s="19"/>
      <c r="AW40" s="5"/>
      <c r="AX40" s="5"/>
      <c r="AY40" s="19"/>
      <c r="AZ40" s="30"/>
      <c r="BA40" s="5"/>
      <c r="BB40" s="31" t="str">
        <f aca="false">IF(OR($T40="",$M40=""),"",$T40-$M40)</f>
        <v/>
      </c>
      <c r="BC40" s="32" t="str">
        <f aca="false">IF(OR($T40="",$M40="",$M40=0),"",($T40-$M40)/$M40)</f>
        <v/>
      </c>
      <c r="BD40" s="31" t="str">
        <f aca="false">IF(OR($U40="",$M40=""),"",$U40-$M40)</f>
        <v/>
      </c>
      <c r="BE40" s="32" t="str">
        <f aca="false">IF(OR($U40="",$M40="",$M40=0),"",($U40-$M40)/$M40)</f>
        <v/>
      </c>
      <c r="BF40" s="32" t="str">
        <f aca="false">IF(OR($U40="",$J40="",$J40=0),"",($U40-$J40)/$J40)</f>
        <v/>
      </c>
      <c r="BG40" s="32" t="str">
        <f aca="false">IF(OR($M40="",$K40="",$K40=0),"",($M40-$K40)/$K40)</f>
        <v/>
      </c>
      <c r="BH40" s="32" t="str">
        <f aca="false">IF(OR($W40="",$N40="",$N40=0),"",($W40-$N40)/$N40)</f>
        <v/>
      </c>
      <c r="BI40" s="33" t="str">
        <f aca="false">IF(OR($O40="",$X40=""),"",$O40-$X40)</f>
        <v/>
      </c>
      <c r="BJ40" s="33" t="str">
        <f aca="false">IF(OR($P40="",$Y40=""),"",$P40-$Y40)</f>
        <v/>
      </c>
      <c r="BK40" s="34" t="str">
        <f aca="false">IF(OR($AN40="",$AO40="",$AN40=0),"",$AO40/$AN40)</f>
        <v/>
      </c>
      <c r="BL40" s="34" t="str">
        <f aca="false">IF(OR($AU40="",$AV40="",$AU40=0),"",$AV40/$AU40)</f>
        <v/>
      </c>
      <c r="BM40" s="7" t="str">
        <f aca="false">IF($Z40="","",IF(AND($Z40="Y",$AB40&lt;&gt;"N",$AC40&lt;&gt;"Y"),"Y","N"))</f>
        <v/>
      </c>
      <c r="BN40" s="7" t="str">
        <f aca="false">IF($AH40="","",IF($Z40&lt;&gt;"Y","undefined",IF($AH40&lt;=1,"Y","N")))</f>
        <v/>
      </c>
      <c r="BO40" s="7" t="str">
        <f aca="false">IF($AH40="","",IF($Z40&lt;&gt;"Y","undefined",IF($AH40&lt;=10,"Y","N")))</f>
        <v/>
      </c>
      <c r="BP40" s="7" t="str">
        <f aca="false">IF($AH40="","",IF($Z40&lt;&gt;"Y","undefined",IF($AH40&lt;=100,"Y","N")))</f>
        <v/>
      </c>
    </row>
    <row r="41" customFormat="false" ht="15" hidden="false" customHeight="false" outlineLevel="0" collapsed="false">
      <c r="A41" s="7" t="str">
        <f aca="false">IF($B41="","",$B41&amp;"|"&amp;$C41&amp;"|"&amp;$F41)</f>
        <v/>
      </c>
      <c r="B41" s="5"/>
      <c r="C41" s="5"/>
      <c r="D41" s="5"/>
      <c r="E41" s="5"/>
      <c r="F41" s="5"/>
      <c r="G41" s="5"/>
      <c r="H41" s="5"/>
      <c r="I41" s="5"/>
      <c r="J41" s="20"/>
      <c r="K41" s="20"/>
      <c r="L41" s="28"/>
      <c r="M41" s="20"/>
      <c r="N41" s="28"/>
      <c r="O41" s="19"/>
      <c r="P41" s="19"/>
      <c r="Q41" s="5"/>
      <c r="R41" s="19"/>
      <c r="S41" s="5"/>
      <c r="T41" s="20"/>
      <c r="U41" s="20"/>
      <c r="V41" s="29"/>
      <c r="W41" s="28"/>
      <c r="X41" s="19"/>
      <c r="Y41" s="19"/>
      <c r="Z41" s="5"/>
      <c r="AA41" s="19"/>
      <c r="AB41" s="5"/>
      <c r="AC41" s="5"/>
      <c r="AD41" s="5"/>
      <c r="AE41" s="5"/>
      <c r="AF41" s="30"/>
      <c r="AG41" s="30"/>
      <c r="AH41" s="30"/>
      <c r="AI41" s="30"/>
      <c r="AJ41" s="30"/>
      <c r="AK41" s="30"/>
      <c r="AL41" s="28"/>
      <c r="AM41" s="5"/>
      <c r="AN41" s="19"/>
      <c r="AO41" s="19"/>
      <c r="AP41" s="5"/>
      <c r="AQ41" s="5"/>
      <c r="AR41" s="5"/>
      <c r="AS41" s="5"/>
      <c r="AT41" s="5"/>
      <c r="AU41" s="19"/>
      <c r="AV41" s="19"/>
      <c r="AW41" s="5"/>
      <c r="AX41" s="5"/>
      <c r="AY41" s="19"/>
      <c r="AZ41" s="30"/>
      <c r="BA41" s="5"/>
      <c r="BB41" s="31" t="str">
        <f aca="false">IF(OR($T41="",$M41=""),"",$T41-$M41)</f>
        <v/>
      </c>
      <c r="BC41" s="32" t="str">
        <f aca="false">IF(OR($T41="",$M41="",$M41=0),"",($T41-$M41)/$M41)</f>
        <v/>
      </c>
      <c r="BD41" s="31" t="str">
        <f aca="false">IF(OR($U41="",$M41=""),"",$U41-$M41)</f>
        <v/>
      </c>
      <c r="BE41" s="32" t="str">
        <f aca="false">IF(OR($U41="",$M41="",$M41=0),"",($U41-$M41)/$M41)</f>
        <v/>
      </c>
      <c r="BF41" s="32" t="str">
        <f aca="false">IF(OR($U41="",$J41="",$J41=0),"",($U41-$J41)/$J41)</f>
        <v/>
      </c>
      <c r="BG41" s="32" t="str">
        <f aca="false">IF(OR($M41="",$K41="",$K41=0),"",($M41-$K41)/$K41)</f>
        <v/>
      </c>
      <c r="BH41" s="32" t="str">
        <f aca="false">IF(OR($W41="",$N41="",$N41=0),"",($W41-$N41)/$N41)</f>
        <v/>
      </c>
      <c r="BI41" s="33" t="str">
        <f aca="false">IF(OR($O41="",$X41=""),"",$O41-$X41)</f>
        <v/>
      </c>
      <c r="BJ41" s="33" t="str">
        <f aca="false">IF(OR($P41="",$Y41=""),"",$P41-$Y41)</f>
        <v/>
      </c>
      <c r="BK41" s="34" t="str">
        <f aca="false">IF(OR($AN41="",$AO41="",$AN41=0),"",$AO41/$AN41)</f>
        <v/>
      </c>
      <c r="BL41" s="34" t="str">
        <f aca="false">IF(OR($AU41="",$AV41="",$AU41=0),"",$AV41/$AU41)</f>
        <v/>
      </c>
      <c r="BM41" s="7" t="str">
        <f aca="false">IF($Z41="","",IF(AND($Z41="Y",$AB41&lt;&gt;"N",$AC41&lt;&gt;"Y"),"Y","N"))</f>
        <v/>
      </c>
      <c r="BN41" s="7" t="str">
        <f aca="false">IF($AH41="","",IF($Z41&lt;&gt;"Y","undefined",IF($AH41&lt;=1,"Y","N")))</f>
        <v/>
      </c>
      <c r="BO41" s="7" t="str">
        <f aca="false">IF($AH41="","",IF($Z41&lt;&gt;"Y","undefined",IF($AH41&lt;=10,"Y","N")))</f>
        <v/>
      </c>
      <c r="BP41" s="7" t="str">
        <f aca="false">IF($AH41="","",IF($Z41&lt;&gt;"Y","undefined",IF($AH41&lt;=100,"Y","N")))</f>
        <v/>
      </c>
    </row>
    <row r="42" customFormat="false" ht="15" hidden="false" customHeight="false" outlineLevel="0" collapsed="false">
      <c r="A42" s="7" t="str">
        <f aca="false">IF($B42="","",$B42&amp;"|"&amp;$C42&amp;"|"&amp;$F42)</f>
        <v/>
      </c>
      <c r="B42" s="5"/>
      <c r="C42" s="5"/>
      <c r="D42" s="5"/>
      <c r="E42" s="5"/>
      <c r="F42" s="5"/>
      <c r="G42" s="5"/>
      <c r="H42" s="5"/>
      <c r="I42" s="5"/>
      <c r="J42" s="20"/>
      <c r="K42" s="20"/>
      <c r="L42" s="28"/>
      <c r="M42" s="20"/>
      <c r="N42" s="28"/>
      <c r="O42" s="19"/>
      <c r="P42" s="19"/>
      <c r="Q42" s="5"/>
      <c r="R42" s="19"/>
      <c r="S42" s="5"/>
      <c r="T42" s="20"/>
      <c r="U42" s="20"/>
      <c r="V42" s="29"/>
      <c r="W42" s="28"/>
      <c r="X42" s="19"/>
      <c r="Y42" s="19"/>
      <c r="Z42" s="5"/>
      <c r="AA42" s="19"/>
      <c r="AB42" s="5"/>
      <c r="AC42" s="5"/>
      <c r="AD42" s="5"/>
      <c r="AE42" s="5"/>
      <c r="AF42" s="30"/>
      <c r="AG42" s="30"/>
      <c r="AH42" s="30"/>
      <c r="AI42" s="30"/>
      <c r="AJ42" s="30"/>
      <c r="AK42" s="30"/>
      <c r="AL42" s="28"/>
      <c r="AM42" s="5"/>
      <c r="AN42" s="19"/>
      <c r="AO42" s="19"/>
      <c r="AP42" s="5"/>
      <c r="AQ42" s="5"/>
      <c r="AR42" s="5"/>
      <c r="AS42" s="5"/>
      <c r="AT42" s="5"/>
      <c r="AU42" s="19"/>
      <c r="AV42" s="19"/>
      <c r="AW42" s="5"/>
      <c r="AX42" s="5"/>
      <c r="AY42" s="19"/>
      <c r="AZ42" s="30"/>
      <c r="BA42" s="5"/>
      <c r="BB42" s="31" t="str">
        <f aca="false">IF(OR($T42="",$M42=""),"",$T42-$M42)</f>
        <v/>
      </c>
      <c r="BC42" s="32" t="str">
        <f aca="false">IF(OR($T42="",$M42="",$M42=0),"",($T42-$M42)/$M42)</f>
        <v/>
      </c>
      <c r="BD42" s="31" t="str">
        <f aca="false">IF(OR($U42="",$M42=""),"",$U42-$M42)</f>
        <v/>
      </c>
      <c r="BE42" s="32" t="str">
        <f aca="false">IF(OR($U42="",$M42="",$M42=0),"",($U42-$M42)/$M42)</f>
        <v/>
      </c>
      <c r="BF42" s="32" t="str">
        <f aca="false">IF(OR($U42="",$J42="",$J42=0),"",($U42-$J42)/$J42)</f>
        <v/>
      </c>
      <c r="BG42" s="32" t="str">
        <f aca="false">IF(OR($M42="",$K42="",$K42=0),"",($M42-$K42)/$K42)</f>
        <v/>
      </c>
      <c r="BH42" s="32" t="str">
        <f aca="false">IF(OR($W42="",$N42="",$N42=0),"",($W42-$N42)/$N42)</f>
        <v/>
      </c>
      <c r="BI42" s="33" t="str">
        <f aca="false">IF(OR($O42="",$X42=""),"",$O42-$X42)</f>
        <v/>
      </c>
      <c r="BJ42" s="33" t="str">
        <f aca="false">IF(OR($P42="",$Y42=""),"",$P42-$Y42)</f>
        <v/>
      </c>
      <c r="BK42" s="34" t="str">
        <f aca="false">IF(OR($AN42="",$AO42="",$AN42=0),"",$AO42/$AN42)</f>
        <v/>
      </c>
      <c r="BL42" s="34" t="str">
        <f aca="false">IF(OR($AU42="",$AV42="",$AU42=0),"",$AV42/$AU42)</f>
        <v/>
      </c>
      <c r="BM42" s="7" t="str">
        <f aca="false">IF($Z42="","",IF(AND($Z42="Y",$AB42&lt;&gt;"N",$AC42&lt;&gt;"Y"),"Y","N"))</f>
        <v/>
      </c>
      <c r="BN42" s="7" t="str">
        <f aca="false">IF($AH42="","",IF($Z42&lt;&gt;"Y","undefined",IF($AH42&lt;=1,"Y","N")))</f>
        <v/>
      </c>
      <c r="BO42" s="7" t="str">
        <f aca="false">IF($AH42="","",IF($Z42&lt;&gt;"Y","undefined",IF($AH42&lt;=10,"Y","N")))</f>
        <v/>
      </c>
      <c r="BP42" s="7" t="str">
        <f aca="false">IF($AH42="","",IF($Z42&lt;&gt;"Y","undefined",IF($AH42&lt;=100,"Y","N")))</f>
        <v/>
      </c>
    </row>
    <row r="43" customFormat="false" ht="15" hidden="false" customHeight="false" outlineLevel="0" collapsed="false">
      <c r="A43" s="7" t="str">
        <f aca="false">IF($B43="","",$B43&amp;"|"&amp;$C43&amp;"|"&amp;$F43)</f>
        <v/>
      </c>
      <c r="B43" s="5"/>
      <c r="C43" s="5"/>
      <c r="D43" s="5"/>
      <c r="E43" s="5"/>
      <c r="F43" s="5"/>
      <c r="G43" s="5"/>
      <c r="H43" s="5"/>
      <c r="I43" s="5"/>
      <c r="J43" s="20"/>
      <c r="K43" s="20"/>
      <c r="L43" s="28"/>
      <c r="M43" s="20"/>
      <c r="N43" s="28"/>
      <c r="O43" s="19"/>
      <c r="P43" s="19"/>
      <c r="Q43" s="5"/>
      <c r="R43" s="19"/>
      <c r="S43" s="5"/>
      <c r="T43" s="20"/>
      <c r="U43" s="20"/>
      <c r="V43" s="29"/>
      <c r="W43" s="28"/>
      <c r="X43" s="19"/>
      <c r="Y43" s="19"/>
      <c r="Z43" s="5"/>
      <c r="AA43" s="19"/>
      <c r="AB43" s="5"/>
      <c r="AC43" s="5"/>
      <c r="AD43" s="5"/>
      <c r="AE43" s="5"/>
      <c r="AF43" s="30"/>
      <c r="AG43" s="30"/>
      <c r="AH43" s="30"/>
      <c r="AI43" s="30"/>
      <c r="AJ43" s="30"/>
      <c r="AK43" s="30"/>
      <c r="AL43" s="28"/>
      <c r="AM43" s="5"/>
      <c r="AN43" s="19"/>
      <c r="AO43" s="19"/>
      <c r="AP43" s="5"/>
      <c r="AQ43" s="5"/>
      <c r="AR43" s="5"/>
      <c r="AS43" s="5"/>
      <c r="AT43" s="5"/>
      <c r="AU43" s="19"/>
      <c r="AV43" s="19"/>
      <c r="AW43" s="5"/>
      <c r="AX43" s="5"/>
      <c r="AY43" s="19"/>
      <c r="AZ43" s="30"/>
      <c r="BA43" s="5"/>
      <c r="BB43" s="31" t="str">
        <f aca="false">IF(OR($T43="",$M43=""),"",$T43-$M43)</f>
        <v/>
      </c>
      <c r="BC43" s="32" t="str">
        <f aca="false">IF(OR($T43="",$M43="",$M43=0),"",($T43-$M43)/$M43)</f>
        <v/>
      </c>
      <c r="BD43" s="31" t="str">
        <f aca="false">IF(OR($U43="",$M43=""),"",$U43-$M43)</f>
        <v/>
      </c>
      <c r="BE43" s="32" t="str">
        <f aca="false">IF(OR($U43="",$M43="",$M43=0),"",($U43-$M43)/$M43)</f>
        <v/>
      </c>
      <c r="BF43" s="32" t="str">
        <f aca="false">IF(OR($U43="",$J43="",$J43=0),"",($U43-$J43)/$J43)</f>
        <v/>
      </c>
      <c r="BG43" s="32" t="str">
        <f aca="false">IF(OR($M43="",$K43="",$K43=0),"",($M43-$K43)/$K43)</f>
        <v/>
      </c>
      <c r="BH43" s="32" t="str">
        <f aca="false">IF(OR($W43="",$N43="",$N43=0),"",($W43-$N43)/$N43)</f>
        <v/>
      </c>
      <c r="BI43" s="33" t="str">
        <f aca="false">IF(OR($O43="",$X43=""),"",$O43-$X43)</f>
        <v/>
      </c>
      <c r="BJ43" s="33" t="str">
        <f aca="false">IF(OR($P43="",$Y43=""),"",$P43-$Y43)</f>
        <v/>
      </c>
      <c r="BK43" s="34" t="str">
        <f aca="false">IF(OR($AN43="",$AO43="",$AN43=0),"",$AO43/$AN43)</f>
        <v/>
      </c>
      <c r="BL43" s="34" t="str">
        <f aca="false">IF(OR($AU43="",$AV43="",$AU43=0),"",$AV43/$AU43)</f>
        <v/>
      </c>
      <c r="BM43" s="7" t="str">
        <f aca="false">IF($Z43="","",IF(AND($Z43="Y",$AB43&lt;&gt;"N",$AC43&lt;&gt;"Y"),"Y","N"))</f>
        <v/>
      </c>
      <c r="BN43" s="7" t="str">
        <f aca="false">IF($AH43="","",IF($Z43&lt;&gt;"Y","undefined",IF($AH43&lt;=1,"Y","N")))</f>
        <v/>
      </c>
      <c r="BO43" s="7" t="str">
        <f aca="false">IF($AH43="","",IF($Z43&lt;&gt;"Y","undefined",IF($AH43&lt;=10,"Y","N")))</f>
        <v/>
      </c>
      <c r="BP43" s="7" t="str">
        <f aca="false">IF($AH43="","",IF($Z43&lt;&gt;"Y","undefined",IF($AH43&lt;=100,"Y","N")))</f>
        <v/>
      </c>
    </row>
    <row r="44" customFormat="false" ht="15" hidden="false" customHeight="false" outlineLevel="0" collapsed="false">
      <c r="A44" s="7" t="str">
        <f aca="false">IF($B44="","",$B44&amp;"|"&amp;$C44&amp;"|"&amp;$F44)</f>
        <v/>
      </c>
      <c r="B44" s="5"/>
      <c r="C44" s="5"/>
      <c r="D44" s="5"/>
      <c r="E44" s="5"/>
      <c r="F44" s="5"/>
      <c r="G44" s="5"/>
      <c r="H44" s="5"/>
      <c r="I44" s="5"/>
      <c r="J44" s="20"/>
      <c r="K44" s="20"/>
      <c r="L44" s="28"/>
      <c r="M44" s="20"/>
      <c r="N44" s="28"/>
      <c r="O44" s="19"/>
      <c r="P44" s="19"/>
      <c r="Q44" s="5"/>
      <c r="R44" s="19"/>
      <c r="S44" s="5"/>
      <c r="T44" s="20"/>
      <c r="U44" s="20"/>
      <c r="V44" s="29"/>
      <c r="W44" s="28"/>
      <c r="X44" s="19"/>
      <c r="Y44" s="19"/>
      <c r="Z44" s="5"/>
      <c r="AA44" s="19"/>
      <c r="AB44" s="5"/>
      <c r="AC44" s="5"/>
      <c r="AD44" s="5"/>
      <c r="AE44" s="5"/>
      <c r="AF44" s="30"/>
      <c r="AG44" s="30"/>
      <c r="AH44" s="30"/>
      <c r="AI44" s="30"/>
      <c r="AJ44" s="30"/>
      <c r="AK44" s="30"/>
      <c r="AL44" s="28"/>
      <c r="AM44" s="5"/>
      <c r="AN44" s="19"/>
      <c r="AO44" s="19"/>
      <c r="AP44" s="5"/>
      <c r="AQ44" s="5"/>
      <c r="AR44" s="5"/>
      <c r="AS44" s="5"/>
      <c r="AT44" s="5"/>
      <c r="AU44" s="19"/>
      <c r="AV44" s="19"/>
      <c r="AW44" s="5"/>
      <c r="AX44" s="5"/>
      <c r="AY44" s="19"/>
      <c r="AZ44" s="30"/>
      <c r="BA44" s="5"/>
      <c r="BB44" s="31" t="str">
        <f aca="false">IF(OR($T44="",$M44=""),"",$T44-$M44)</f>
        <v/>
      </c>
      <c r="BC44" s="32" t="str">
        <f aca="false">IF(OR($T44="",$M44="",$M44=0),"",($T44-$M44)/$M44)</f>
        <v/>
      </c>
      <c r="BD44" s="31" t="str">
        <f aca="false">IF(OR($U44="",$M44=""),"",$U44-$M44)</f>
        <v/>
      </c>
      <c r="BE44" s="32" t="str">
        <f aca="false">IF(OR($U44="",$M44="",$M44=0),"",($U44-$M44)/$M44)</f>
        <v/>
      </c>
      <c r="BF44" s="32" t="str">
        <f aca="false">IF(OR($U44="",$J44="",$J44=0),"",($U44-$J44)/$J44)</f>
        <v/>
      </c>
      <c r="BG44" s="32" t="str">
        <f aca="false">IF(OR($M44="",$K44="",$K44=0),"",($M44-$K44)/$K44)</f>
        <v/>
      </c>
      <c r="BH44" s="32" t="str">
        <f aca="false">IF(OR($W44="",$N44="",$N44=0),"",($W44-$N44)/$N44)</f>
        <v/>
      </c>
      <c r="BI44" s="33" t="str">
        <f aca="false">IF(OR($O44="",$X44=""),"",$O44-$X44)</f>
        <v/>
      </c>
      <c r="BJ44" s="33" t="str">
        <f aca="false">IF(OR($P44="",$Y44=""),"",$P44-$Y44)</f>
        <v/>
      </c>
      <c r="BK44" s="34" t="str">
        <f aca="false">IF(OR($AN44="",$AO44="",$AN44=0),"",$AO44/$AN44)</f>
        <v/>
      </c>
      <c r="BL44" s="34" t="str">
        <f aca="false">IF(OR($AU44="",$AV44="",$AU44=0),"",$AV44/$AU44)</f>
        <v/>
      </c>
      <c r="BM44" s="7" t="str">
        <f aca="false">IF($Z44="","",IF(AND($Z44="Y",$AB44&lt;&gt;"N",$AC44&lt;&gt;"Y"),"Y","N"))</f>
        <v/>
      </c>
      <c r="BN44" s="7" t="str">
        <f aca="false">IF($AH44="","",IF($Z44&lt;&gt;"Y","undefined",IF($AH44&lt;=1,"Y","N")))</f>
        <v/>
      </c>
      <c r="BO44" s="7" t="str">
        <f aca="false">IF($AH44="","",IF($Z44&lt;&gt;"Y","undefined",IF($AH44&lt;=10,"Y","N")))</f>
        <v/>
      </c>
      <c r="BP44" s="7" t="str">
        <f aca="false">IF($AH44="","",IF($Z44&lt;&gt;"Y","undefined",IF($AH44&lt;=100,"Y","N")))</f>
        <v/>
      </c>
    </row>
    <row r="45" customFormat="false" ht="15" hidden="false" customHeight="false" outlineLevel="0" collapsed="false">
      <c r="A45" s="7" t="str">
        <f aca="false">IF($B45="","",$B45&amp;"|"&amp;$C45&amp;"|"&amp;$F45)</f>
        <v/>
      </c>
      <c r="B45" s="5"/>
      <c r="C45" s="5"/>
      <c r="D45" s="5"/>
      <c r="E45" s="5"/>
      <c r="F45" s="5"/>
      <c r="G45" s="5"/>
      <c r="H45" s="5"/>
      <c r="I45" s="5"/>
      <c r="J45" s="20"/>
      <c r="K45" s="20"/>
      <c r="L45" s="28"/>
      <c r="M45" s="20"/>
      <c r="N45" s="28"/>
      <c r="O45" s="19"/>
      <c r="P45" s="19"/>
      <c r="Q45" s="5"/>
      <c r="R45" s="19"/>
      <c r="S45" s="5"/>
      <c r="T45" s="20"/>
      <c r="U45" s="20"/>
      <c r="V45" s="29"/>
      <c r="W45" s="28"/>
      <c r="X45" s="19"/>
      <c r="Y45" s="19"/>
      <c r="Z45" s="5"/>
      <c r="AA45" s="19"/>
      <c r="AB45" s="5"/>
      <c r="AC45" s="5"/>
      <c r="AD45" s="5"/>
      <c r="AE45" s="5"/>
      <c r="AF45" s="30"/>
      <c r="AG45" s="30"/>
      <c r="AH45" s="30"/>
      <c r="AI45" s="30"/>
      <c r="AJ45" s="30"/>
      <c r="AK45" s="30"/>
      <c r="AL45" s="28"/>
      <c r="AM45" s="5"/>
      <c r="AN45" s="19"/>
      <c r="AO45" s="19"/>
      <c r="AP45" s="5"/>
      <c r="AQ45" s="5"/>
      <c r="AR45" s="5"/>
      <c r="AS45" s="5"/>
      <c r="AT45" s="5"/>
      <c r="AU45" s="19"/>
      <c r="AV45" s="19"/>
      <c r="AW45" s="5"/>
      <c r="AX45" s="5"/>
      <c r="AY45" s="19"/>
      <c r="AZ45" s="30"/>
      <c r="BA45" s="5"/>
      <c r="BB45" s="31" t="str">
        <f aca="false">IF(OR($T45="",$M45=""),"",$T45-$M45)</f>
        <v/>
      </c>
      <c r="BC45" s="32" t="str">
        <f aca="false">IF(OR($T45="",$M45="",$M45=0),"",($T45-$M45)/$M45)</f>
        <v/>
      </c>
      <c r="BD45" s="31" t="str">
        <f aca="false">IF(OR($U45="",$M45=""),"",$U45-$M45)</f>
        <v/>
      </c>
      <c r="BE45" s="32" t="str">
        <f aca="false">IF(OR($U45="",$M45="",$M45=0),"",($U45-$M45)/$M45)</f>
        <v/>
      </c>
      <c r="BF45" s="32" t="str">
        <f aca="false">IF(OR($U45="",$J45="",$J45=0),"",($U45-$J45)/$J45)</f>
        <v/>
      </c>
      <c r="BG45" s="32" t="str">
        <f aca="false">IF(OR($M45="",$K45="",$K45=0),"",($M45-$K45)/$K45)</f>
        <v/>
      </c>
      <c r="BH45" s="32" t="str">
        <f aca="false">IF(OR($W45="",$N45="",$N45=0),"",($W45-$N45)/$N45)</f>
        <v/>
      </c>
      <c r="BI45" s="33" t="str">
        <f aca="false">IF(OR($O45="",$X45=""),"",$O45-$X45)</f>
        <v/>
      </c>
      <c r="BJ45" s="33" t="str">
        <f aca="false">IF(OR($P45="",$Y45=""),"",$P45-$Y45)</f>
        <v/>
      </c>
      <c r="BK45" s="34" t="str">
        <f aca="false">IF(OR($AN45="",$AO45="",$AN45=0),"",$AO45/$AN45)</f>
        <v/>
      </c>
      <c r="BL45" s="34" t="str">
        <f aca="false">IF(OR($AU45="",$AV45="",$AU45=0),"",$AV45/$AU45)</f>
        <v/>
      </c>
      <c r="BM45" s="7" t="str">
        <f aca="false">IF($Z45="","",IF(AND($Z45="Y",$AB45&lt;&gt;"N",$AC45&lt;&gt;"Y"),"Y","N"))</f>
        <v/>
      </c>
      <c r="BN45" s="7" t="str">
        <f aca="false">IF($AH45="","",IF($Z45&lt;&gt;"Y","undefined",IF($AH45&lt;=1,"Y","N")))</f>
        <v/>
      </c>
      <c r="BO45" s="7" t="str">
        <f aca="false">IF($AH45="","",IF($Z45&lt;&gt;"Y","undefined",IF($AH45&lt;=10,"Y","N")))</f>
        <v/>
      </c>
      <c r="BP45" s="7" t="str">
        <f aca="false">IF($AH45="","",IF($Z45&lt;&gt;"Y","undefined",IF($AH45&lt;=100,"Y","N")))</f>
        <v/>
      </c>
    </row>
    <row r="46" customFormat="false" ht="15" hidden="false" customHeight="false" outlineLevel="0" collapsed="false">
      <c r="A46" s="7" t="str">
        <f aca="false">IF($B46="","",$B46&amp;"|"&amp;$C46&amp;"|"&amp;$F46)</f>
        <v/>
      </c>
      <c r="B46" s="5"/>
      <c r="C46" s="5"/>
      <c r="D46" s="5"/>
      <c r="E46" s="5"/>
      <c r="F46" s="5"/>
      <c r="G46" s="5"/>
      <c r="H46" s="5"/>
      <c r="I46" s="5"/>
      <c r="J46" s="20"/>
      <c r="K46" s="20"/>
      <c r="L46" s="28"/>
      <c r="M46" s="20"/>
      <c r="N46" s="28"/>
      <c r="O46" s="19"/>
      <c r="P46" s="19"/>
      <c r="Q46" s="5"/>
      <c r="R46" s="19"/>
      <c r="S46" s="5"/>
      <c r="T46" s="20"/>
      <c r="U46" s="20"/>
      <c r="V46" s="29"/>
      <c r="W46" s="28"/>
      <c r="X46" s="19"/>
      <c r="Y46" s="19"/>
      <c r="Z46" s="5"/>
      <c r="AA46" s="19"/>
      <c r="AB46" s="5"/>
      <c r="AC46" s="5"/>
      <c r="AD46" s="5"/>
      <c r="AE46" s="5"/>
      <c r="AF46" s="30"/>
      <c r="AG46" s="30"/>
      <c r="AH46" s="30"/>
      <c r="AI46" s="30"/>
      <c r="AJ46" s="30"/>
      <c r="AK46" s="30"/>
      <c r="AL46" s="28"/>
      <c r="AM46" s="5"/>
      <c r="AN46" s="19"/>
      <c r="AO46" s="19"/>
      <c r="AP46" s="5"/>
      <c r="AQ46" s="5"/>
      <c r="AR46" s="5"/>
      <c r="AS46" s="5"/>
      <c r="AT46" s="5"/>
      <c r="AU46" s="19"/>
      <c r="AV46" s="19"/>
      <c r="AW46" s="5"/>
      <c r="AX46" s="5"/>
      <c r="AY46" s="19"/>
      <c r="AZ46" s="30"/>
      <c r="BA46" s="5"/>
      <c r="BB46" s="31" t="str">
        <f aca="false">IF(OR($T46="",$M46=""),"",$T46-$M46)</f>
        <v/>
      </c>
      <c r="BC46" s="32" t="str">
        <f aca="false">IF(OR($T46="",$M46="",$M46=0),"",($T46-$M46)/$M46)</f>
        <v/>
      </c>
      <c r="BD46" s="31" t="str">
        <f aca="false">IF(OR($U46="",$M46=""),"",$U46-$M46)</f>
        <v/>
      </c>
      <c r="BE46" s="32" t="str">
        <f aca="false">IF(OR($U46="",$M46="",$M46=0),"",($U46-$M46)/$M46)</f>
        <v/>
      </c>
      <c r="BF46" s="32" t="str">
        <f aca="false">IF(OR($U46="",$J46="",$J46=0),"",($U46-$J46)/$J46)</f>
        <v/>
      </c>
      <c r="BG46" s="32" t="str">
        <f aca="false">IF(OR($M46="",$K46="",$K46=0),"",($M46-$K46)/$K46)</f>
        <v/>
      </c>
      <c r="BH46" s="32" t="str">
        <f aca="false">IF(OR($W46="",$N46="",$N46=0),"",($W46-$N46)/$N46)</f>
        <v/>
      </c>
      <c r="BI46" s="33" t="str">
        <f aca="false">IF(OR($O46="",$X46=""),"",$O46-$X46)</f>
        <v/>
      </c>
      <c r="BJ46" s="33" t="str">
        <f aca="false">IF(OR($P46="",$Y46=""),"",$P46-$Y46)</f>
        <v/>
      </c>
      <c r="BK46" s="34" t="str">
        <f aca="false">IF(OR($AN46="",$AO46="",$AN46=0),"",$AO46/$AN46)</f>
        <v/>
      </c>
      <c r="BL46" s="34" t="str">
        <f aca="false">IF(OR($AU46="",$AV46="",$AU46=0),"",$AV46/$AU46)</f>
        <v/>
      </c>
      <c r="BM46" s="7" t="str">
        <f aca="false">IF($Z46="","",IF(AND($Z46="Y",$AB46&lt;&gt;"N",$AC46&lt;&gt;"Y"),"Y","N"))</f>
        <v/>
      </c>
      <c r="BN46" s="7" t="str">
        <f aca="false">IF($AH46="","",IF($Z46&lt;&gt;"Y","undefined",IF($AH46&lt;=1,"Y","N")))</f>
        <v/>
      </c>
      <c r="BO46" s="7" t="str">
        <f aca="false">IF($AH46="","",IF($Z46&lt;&gt;"Y","undefined",IF($AH46&lt;=10,"Y","N")))</f>
        <v/>
      </c>
      <c r="BP46" s="7" t="str">
        <f aca="false">IF($AH46="","",IF($Z46&lt;&gt;"Y","undefined",IF($AH46&lt;=100,"Y","N")))</f>
        <v/>
      </c>
    </row>
    <row r="47" customFormat="false" ht="15" hidden="false" customHeight="false" outlineLevel="0" collapsed="false">
      <c r="A47" s="7" t="str">
        <f aca="false">IF($B47="","",$B47&amp;"|"&amp;$C47&amp;"|"&amp;$F47)</f>
        <v/>
      </c>
      <c r="B47" s="5"/>
      <c r="C47" s="5"/>
      <c r="D47" s="5"/>
      <c r="E47" s="5"/>
      <c r="F47" s="5"/>
      <c r="G47" s="5"/>
      <c r="H47" s="5"/>
      <c r="I47" s="5"/>
      <c r="J47" s="20"/>
      <c r="K47" s="20"/>
      <c r="L47" s="28"/>
      <c r="M47" s="20"/>
      <c r="N47" s="28"/>
      <c r="O47" s="19"/>
      <c r="P47" s="19"/>
      <c r="Q47" s="5"/>
      <c r="R47" s="19"/>
      <c r="S47" s="5"/>
      <c r="T47" s="20"/>
      <c r="U47" s="20"/>
      <c r="V47" s="29"/>
      <c r="W47" s="28"/>
      <c r="X47" s="19"/>
      <c r="Y47" s="19"/>
      <c r="Z47" s="5"/>
      <c r="AA47" s="19"/>
      <c r="AB47" s="5"/>
      <c r="AC47" s="5"/>
      <c r="AD47" s="5"/>
      <c r="AE47" s="5"/>
      <c r="AF47" s="30"/>
      <c r="AG47" s="30"/>
      <c r="AH47" s="30"/>
      <c r="AI47" s="30"/>
      <c r="AJ47" s="30"/>
      <c r="AK47" s="30"/>
      <c r="AL47" s="28"/>
      <c r="AM47" s="5"/>
      <c r="AN47" s="19"/>
      <c r="AO47" s="19"/>
      <c r="AP47" s="5"/>
      <c r="AQ47" s="5"/>
      <c r="AR47" s="5"/>
      <c r="AS47" s="5"/>
      <c r="AT47" s="5"/>
      <c r="AU47" s="19"/>
      <c r="AV47" s="19"/>
      <c r="AW47" s="5"/>
      <c r="AX47" s="5"/>
      <c r="AY47" s="19"/>
      <c r="AZ47" s="30"/>
      <c r="BA47" s="5"/>
      <c r="BB47" s="31" t="str">
        <f aca="false">IF(OR($T47="",$M47=""),"",$T47-$M47)</f>
        <v/>
      </c>
      <c r="BC47" s="32" t="str">
        <f aca="false">IF(OR($T47="",$M47="",$M47=0),"",($T47-$M47)/$M47)</f>
        <v/>
      </c>
      <c r="BD47" s="31" t="str">
        <f aca="false">IF(OR($U47="",$M47=""),"",$U47-$M47)</f>
        <v/>
      </c>
      <c r="BE47" s="32" t="str">
        <f aca="false">IF(OR($U47="",$M47="",$M47=0),"",($U47-$M47)/$M47)</f>
        <v/>
      </c>
      <c r="BF47" s="32" t="str">
        <f aca="false">IF(OR($U47="",$J47="",$J47=0),"",($U47-$J47)/$J47)</f>
        <v/>
      </c>
      <c r="BG47" s="32" t="str">
        <f aca="false">IF(OR($M47="",$K47="",$K47=0),"",($M47-$K47)/$K47)</f>
        <v/>
      </c>
      <c r="BH47" s="32" t="str">
        <f aca="false">IF(OR($W47="",$N47="",$N47=0),"",($W47-$N47)/$N47)</f>
        <v/>
      </c>
      <c r="BI47" s="33" t="str">
        <f aca="false">IF(OR($O47="",$X47=""),"",$O47-$X47)</f>
        <v/>
      </c>
      <c r="BJ47" s="33" t="str">
        <f aca="false">IF(OR($P47="",$Y47=""),"",$P47-$Y47)</f>
        <v/>
      </c>
      <c r="BK47" s="34" t="str">
        <f aca="false">IF(OR($AN47="",$AO47="",$AN47=0),"",$AO47/$AN47)</f>
        <v/>
      </c>
      <c r="BL47" s="34" t="str">
        <f aca="false">IF(OR($AU47="",$AV47="",$AU47=0),"",$AV47/$AU47)</f>
        <v/>
      </c>
      <c r="BM47" s="7" t="str">
        <f aca="false">IF($Z47="","",IF(AND($Z47="Y",$AB47&lt;&gt;"N",$AC47&lt;&gt;"Y"),"Y","N"))</f>
        <v/>
      </c>
      <c r="BN47" s="7" t="str">
        <f aca="false">IF($AH47="","",IF($Z47&lt;&gt;"Y","undefined",IF($AH47&lt;=1,"Y","N")))</f>
        <v/>
      </c>
      <c r="BO47" s="7" t="str">
        <f aca="false">IF($AH47="","",IF($Z47&lt;&gt;"Y","undefined",IF($AH47&lt;=10,"Y","N")))</f>
        <v/>
      </c>
      <c r="BP47" s="7" t="str">
        <f aca="false">IF($AH47="","",IF($Z47&lt;&gt;"Y","undefined",IF($AH47&lt;=100,"Y","N")))</f>
        <v/>
      </c>
    </row>
    <row r="48" customFormat="false" ht="15" hidden="false" customHeight="false" outlineLevel="0" collapsed="false">
      <c r="A48" s="7" t="str">
        <f aca="false">IF($B48="","",$B48&amp;"|"&amp;$C48&amp;"|"&amp;$F48)</f>
        <v/>
      </c>
      <c r="B48" s="5"/>
      <c r="C48" s="5"/>
      <c r="D48" s="5"/>
      <c r="E48" s="5"/>
      <c r="F48" s="5"/>
      <c r="G48" s="5"/>
      <c r="H48" s="5"/>
      <c r="I48" s="5"/>
      <c r="J48" s="20"/>
      <c r="K48" s="20"/>
      <c r="L48" s="28"/>
      <c r="M48" s="20"/>
      <c r="N48" s="28"/>
      <c r="O48" s="19"/>
      <c r="P48" s="19"/>
      <c r="Q48" s="5"/>
      <c r="R48" s="19"/>
      <c r="S48" s="5"/>
      <c r="T48" s="20"/>
      <c r="U48" s="20"/>
      <c r="V48" s="29"/>
      <c r="W48" s="28"/>
      <c r="X48" s="19"/>
      <c r="Y48" s="19"/>
      <c r="Z48" s="5"/>
      <c r="AA48" s="19"/>
      <c r="AB48" s="5"/>
      <c r="AC48" s="5"/>
      <c r="AD48" s="5"/>
      <c r="AE48" s="5"/>
      <c r="AF48" s="30"/>
      <c r="AG48" s="30"/>
      <c r="AH48" s="30"/>
      <c r="AI48" s="30"/>
      <c r="AJ48" s="30"/>
      <c r="AK48" s="30"/>
      <c r="AL48" s="28"/>
      <c r="AM48" s="5"/>
      <c r="AN48" s="19"/>
      <c r="AO48" s="19"/>
      <c r="AP48" s="5"/>
      <c r="AQ48" s="5"/>
      <c r="AR48" s="5"/>
      <c r="AS48" s="5"/>
      <c r="AT48" s="5"/>
      <c r="AU48" s="19"/>
      <c r="AV48" s="19"/>
      <c r="AW48" s="5"/>
      <c r="AX48" s="5"/>
      <c r="AY48" s="19"/>
      <c r="AZ48" s="30"/>
      <c r="BA48" s="5"/>
      <c r="BB48" s="31" t="str">
        <f aca="false">IF(OR($T48="",$M48=""),"",$T48-$M48)</f>
        <v/>
      </c>
      <c r="BC48" s="32" t="str">
        <f aca="false">IF(OR($T48="",$M48="",$M48=0),"",($T48-$M48)/$M48)</f>
        <v/>
      </c>
      <c r="BD48" s="31" t="str">
        <f aca="false">IF(OR($U48="",$M48=""),"",$U48-$M48)</f>
        <v/>
      </c>
      <c r="BE48" s="32" t="str">
        <f aca="false">IF(OR($U48="",$M48="",$M48=0),"",($U48-$M48)/$M48)</f>
        <v/>
      </c>
      <c r="BF48" s="32" t="str">
        <f aca="false">IF(OR($U48="",$J48="",$J48=0),"",($U48-$J48)/$J48)</f>
        <v/>
      </c>
      <c r="BG48" s="32" t="str">
        <f aca="false">IF(OR($M48="",$K48="",$K48=0),"",($M48-$K48)/$K48)</f>
        <v/>
      </c>
      <c r="BH48" s="32" t="str">
        <f aca="false">IF(OR($W48="",$N48="",$N48=0),"",($W48-$N48)/$N48)</f>
        <v/>
      </c>
      <c r="BI48" s="33" t="str">
        <f aca="false">IF(OR($O48="",$X48=""),"",$O48-$X48)</f>
        <v/>
      </c>
      <c r="BJ48" s="33" t="str">
        <f aca="false">IF(OR($P48="",$Y48=""),"",$P48-$Y48)</f>
        <v/>
      </c>
      <c r="BK48" s="34" t="str">
        <f aca="false">IF(OR($AN48="",$AO48="",$AN48=0),"",$AO48/$AN48)</f>
        <v/>
      </c>
      <c r="BL48" s="34" t="str">
        <f aca="false">IF(OR($AU48="",$AV48="",$AU48=0),"",$AV48/$AU48)</f>
        <v/>
      </c>
      <c r="BM48" s="7" t="str">
        <f aca="false">IF($Z48="","",IF(AND($Z48="Y",$AB48&lt;&gt;"N",$AC48&lt;&gt;"Y"),"Y","N"))</f>
        <v/>
      </c>
      <c r="BN48" s="7" t="str">
        <f aca="false">IF($AH48="","",IF($Z48&lt;&gt;"Y","undefined",IF($AH48&lt;=1,"Y","N")))</f>
        <v/>
      </c>
      <c r="BO48" s="7" t="str">
        <f aca="false">IF($AH48="","",IF($Z48&lt;&gt;"Y","undefined",IF($AH48&lt;=10,"Y","N")))</f>
        <v/>
      </c>
      <c r="BP48" s="7" t="str">
        <f aca="false">IF($AH48="","",IF($Z48&lt;&gt;"Y","undefined",IF($AH48&lt;=100,"Y","N")))</f>
        <v/>
      </c>
    </row>
    <row r="49" customFormat="false" ht="15" hidden="false" customHeight="false" outlineLevel="0" collapsed="false">
      <c r="A49" s="7" t="str">
        <f aca="false">IF($B49="","",$B49&amp;"|"&amp;$C49&amp;"|"&amp;$F49)</f>
        <v/>
      </c>
      <c r="B49" s="5"/>
      <c r="C49" s="5"/>
      <c r="D49" s="5"/>
      <c r="E49" s="5"/>
      <c r="F49" s="5"/>
      <c r="G49" s="5"/>
      <c r="H49" s="5"/>
      <c r="I49" s="5"/>
      <c r="J49" s="20"/>
      <c r="K49" s="20"/>
      <c r="L49" s="28"/>
      <c r="M49" s="20"/>
      <c r="N49" s="28"/>
      <c r="O49" s="19"/>
      <c r="P49" s="19"/>
      <c r="Q49" s="5"/>
      <c r="R49" s="19"/>
      <c r="S49" s="5"/>
      <c r="T49" s="20"/>
      <c r="U49" s="20"/>
      <c r="V49" s="29"/>
      <c r="W49" s="28"/>
      <c r="X49" s="19"/>
      <c r="Y49" s="19"/>
      <c r="Z49" s="5"/>
      <c r="AA49" s="19"/>
      <c r="AB49" s="5"/>
      <c r="AC49" s="5"/>
      <c r="AD49" s="5"/>
      <c r="AE49" s="5"/>
      <c r="AF49" s="30"/>
      <c r="AG49" s="30"/>
      <c r="AH49" s="30"/>
      <c r="AI49" s="30"/>
      <c r="AJ49" s="30"/>
      <c r="AK49" s="30"/>
      <c r="AL49" s="28"/>
      <c r="AM49" s="5"/>
      <c r="AN49" s="19"/>
      <c r="AO49" s="19"/>
      <c r="AP49" s="5"/>
      <c r="AQ49" s="5"/>
      <c r="AR49" s="5"/>
      <c r="AS49" s="5"/>
      <c r="AT49" s="5"/>
      <c r="AU49" s="19"/>
      <c r="AV49" s="19"/>
      <c r="AW49" s="5"/>
      <c r="AX49" s="5"/>
      <c r="AY49" s="19"/>
      <c r="AZ49" s="30"/>
      <c r="BA49" s="5"/>
      <c r="BB49" s="31" t="str">
        <f aca="false">IF(OR($T49="",$M49=""),"",$T49-$M49)</f>
        <v/>
      </c>
      <c r="BC49" s="32" t="str">
        <f aca="false">IF(OR($T49="",$M49="",$M49=0),"",($T49-$M49)/$M49)</f>
        <v/>
      </c>
      <c r="BD49" s="31" t="str">
        <f aca="false">IF(OR($U49="",$M49=""),"",$U49-$M49)</f>
        <v/>
      </c>
      <c r="BE49" s="32" t="str">
        <f aca="false">IF(OR($U49="",$M49="",$M49=0),"",($U49-$M49)/$M49)</f>
        <v/>
      </c>
      <c r="BF49" s="32" t="str">
        <f aca="false">IF(OR($U49="",$J49="",$J49=0),"",($U49-$J49)/$J49)</f>
        <v/>
      </c>
      <c r="BG49" s="32" t="str">
        <f aca="false">IF(OR($M49="",$K49="",$K49=0),"",($M49-$K49)/$K49)</f>
        <v/>
      </c>
      <c r="BH49" s="32" t="str">
        <f aca="false">IF(OR($W49="",$N49="",$N49=0),"",($W49-$N49)/$N49)</f>
        <v/>
      </c>
      <c r="BI49" s="33" t="str">
        <f aca="false">IF(OR($O49="",$X49=""),"",$O49-$X49)</f>
        <v/>
      </c>
      <c r="BJ49" s="33" t="str">
        <f aca="false">IF(OR($P49="",$Y49=""),"",$P49-$Y49)</f>
        <v/>
      </c>
      <c r="BK49" s="34" t="str">
        <f aca="false">IF(OR($AN49="",$AO49="",$AN49=0),"",$AO49/$AN49)</f>
        <v/>
      </c>
      <c r="BL49" s="34" t="str">
        <f aca="false">IF(OR($AU49="",$AV49="",$AU49=0),"",$AV49/$AU49)</f>
        <v/>
      </c>
      <c r="BM49" s="7" t="str">
        <f aca="false">IF($Z49="","",IF(AND($Z49="Y",$AB49&lt;&gt;"N",$AC49&lt;&gt;"Y"),"Y","N"))</f>
        <v/>
      </c>
      <c r="BN49" s="7" t="str">
        <f aca="false">IF($AH49="","",IF($Z49&lt;&gt;"Y","undefined",IF($AH49&lt;=1,"Y","N")))</f>
        <v/>
      </c>
      <c r="BO49" s="7" t="str">
        <f aca="false">IF($AH49="","",IF($Z49&lt;&gt;"Y","undefined",IF($AH49&lt;=10,"Y","N")))</f>
        <v/>
      </c>
      <c r="BP49" s="7" t="str">
        <f aca="false">IF($AH49="","",IF($Z49&lt;&gt;"Y","undefined",IF($AH49&lt;=100,"Y","N")))</f>
        <v/>
      </c>
    </row>
    <row r="50" customFormat="false" ht="15" hidden="false" customHeight="false" outlineLevel="0" collapsed="false">
      <c r="A50" s="7" t="str">
        <f aca="false">IF($B50="","",$B50&amp;"|"&amp;$C50&amp;"|"&amp;$F50)</f>
        <v/>
      </c>
      <c r="B50" s="5"/>
      <c r="C50" s="5"/>
      <c r="D50" s="5"/>
      <c r="E50" s="5"/>
      <c r="F50" s="5"/>
      <c r="G50" s="5"/>
      <c r="H50" s="5"/>
      <c r="I50" s="5"/>
      <c r="J50" s="20"/>
      <c r="K50" s="20"/>
      <c r="L50" s="28"/>
      <c r="M50" s="20"/>
      <c r="N50" s="28"/>
      <c r="O50" s="19"/>
      <c r="P50" s="19"/>
      <c r="Q50" s="5"/>
      <c r="R50" s="19"/>
      <c r="S50" s="5"/>
      <c r="T50" s="20"/>
      <c r="U50" s="20"/>
      <c r="V50" s="29"/>
      <c r="W50" s="28"/>
      <c r="X50" s="19"/>
      <c r="Y50" s="19"/>
      <c r="Z50" s="5"/>
      <c r="AA50" s="19"/>
      <c r="AB50" s="5"/>
      <c r="AC50" s="5"/>
      <c r="AD50" s="5"/>
      <c r="AE50" s="5"/>
      <c r="AF50" s="30"/>
      <c r="AG50" s="30"/>
      <c r="AH50" s="30"/>
      <c r="AI50" s="30"/>
      <c r="AJ50" s="30"/>
      <c r="AK50" s="30"/>
      <c r="AL50" s="28"/>
      <c r="AM50" s="5"/>
      <c r="AN50" s="19"/>
      <c r="AO50" s="19"/>
      <c r="AP50" s="5"/>
      <c r="AQ50" s="5"/>
      <c r="AR50" s="5"/>
      <c r="AS50" s="5"/>
      <c r="AT50" s="5"/>
      <c r="AU50" s="19"/>
      <c r="AV50" s="19"/>
      <c r="AW50" s="5"/>
      <c r="AX50" s="5"/>
      <c r="AY50" s="19"/>
      <c r="AZ50" s="30"/>
      <c r="BA50" s="5"/>
      <c r="BB50" s="31" t="str">
        <f aca="false">IF(OR($T50="",$M50=""),"",$T50-$M50)</f>
        <v/>
      </c>
      <c r="BC50" s="32" t="str">
        <f aca="false">IF(OR($T50="",$M50="",$M50=0),"",($T50-$M50)/$M50)</f>
        <v/>
      </c>
      <c r="BD50" s="31" t="str">
        <f aca="false">IF(OR($U50="",$M50=""),"",$U50-$M50)</f>
        <v/>
      </c>
      <c r="BE50" s="32" t="str">
        <f aca="false">IF(OR($U50="",$M50="",$M50=0),"",($U50-$M50)/$M50)</f>
        <v/>
      </c>
      <c r="BF50" s="32" t="str">
        <f aca="false">IF(OR($U50="",$J50="",$J50=0),"",($U50-$J50)/$J50)</f>
        <v/>
      </c>
      <c r="BG50" s="32" t="str">
        <f aca="false">IF(OR($M50="",$K50="",$K50=0),"",($M50-$K50)/$K50)</f>
        <v/>
      </c>
      <c r="BH50" s="32" t="str">
        <f aca="false">IF(OR($W50="",$N50="",$N50=0),"",($W50-$N50)/$N50)</f>
        <v/>
      </c>
      <c r="BI50" s="33" t="str">
        <f aca="false">IF(OR($O50="",$X50=""),"",$O50-$X50)</f>
        <v/>
      </c>
      <c r="BJ50" s="33" t="str">
        <f aca="false">IF(OR($P50="",$Y50=""),"",$P50-$Y50)</f>
        <v/>
      </c>
      <c r="BK50" s="34" t="str">
        <f aca="false">IF(OR($AN50="",$AO50="",$AN50=0),"",$AO50/$AN50)</f>
        <v/>
      </c>
      <c r="BL50" s="34" t="str">
        <f aca="false">IF(OR($AU50="",$AV50="",$AU50=0),"",$AV50/$AU50)</f>
        <v/>
      </c>
      <c r="BM50" s="7" t="str">
        <f aca="false">IF($Z50="","",IF(AND($Z50="Y",$AB50&lt;&gt;"N",$AC50&lt;&gt;"Y"),"Y","N"))</f>
        <v/>
      </c>
      <c r="BN50" s="7" t="str">
        <f aca="false">IF($AH50="","",IF($Z50&lt;&gt;"Y","undefined",IF($AH50&lt;=1,"Y","N")))</f>
        <v/>
      </c>
      <c r="BO50" s="7" t="str">
        <f aca="false">IF($AH50="","",IF($Z50&lt;&gt;"Y","undefined",IF($AH50&lt;=10,"Y","N")))</f>
        <v/>
      </c>
      <c r="BP50" s="7" t="str">
        <f aca="false">IF($AH50="","",IF($Z50&lt;&gt;"Y","undefined",IF($AH50&lt;=100,"Y","N")))</f>
        <v/>
      </c>
    </row>
    <row r="51" customFormat="false" ht="15" hidden="false" customHeight="false" outlineLevel="0" collapsed="false">
      <c r="A51" s="7" t="str">
        <f aca="false">IF($B51="","",$B51&amp;"|"&amp;$C51&amp;"|"&amp;$F51)</f>
        <v/>
      </c>
      <c r="B51" s="5"/>
      <c r="C51" s="5"/>
      <c r="D51" s="5"/>
      <c r="E51" s="5"/>
      <c r="F51" s="5"/>
      <c r="G51" s="5"/>
      <c r="H51" s="5"/>
      <c r="I51" s="5"/>
      <c r="J51" s="20"/>
      <c r="K51" s="20"/>
      <c r="L51" s="28"/>
      <c r="M51" s="20"/>
      <c r="N51" s="28"/>
      <c r="O51" s="19"/>
      <c r="P51" s="19"/>
      <c r="Q51" s="5"/>
      <c r="R51" s="19"/>
      <c r="S51" s="5"/>
      <c r="T51" s="20"/>
      <c r="U51" s="20"/>
      <c r="V51" s="29"/>
      <c r="W51" s="28"/>
      <c r="X51" s="19"/>
      <c r="Y51" s="19"/>
      <c r="Z51" s="5"/>
      <c r="AA51" s="19"/>
      <c r="AB51" s="5"/>
      <c r="AC51" s="5"/>
      <c r="AD51" s="5"/>
      <c r="AE51" s="5"/>
      <c r="AF51" s="30"/>
      <c r="AG51" s="30"/>
      <c r="AH51" s="30"/>
      <c r="AI51" s="30"/>
      <c r="AJ51" s="30"/>
      <c r="AK51" s="30"/>
      <c r="AL51" s="28"/>
      <c r="AM51" s="5"/>
      <c r="AN51" s="19"/>
      <c r="AO51" s="19"/>
      <c r="AP51" s="5"/>
      <c r="AQ51" s="5"/>
      <c r="AR51" s="5"/>
      <c r="AS51" s="5"/>
      <c r="AT51" s="5"/>
      <c r="AU51" s="19"/>
      <c r="AV51" s="19"/>
      <c r="AW51" s="5"/>
      <c r="AX51" s="5"/>
      <c r="AY51" s="19"/>
      <c r="AZ51" s="30"/>
      <c r="BA51" s="5"/>
      <c r="BB51" s="31" t="str">
        <f aca="false">IF(OR($T51="",$M51=""),"",$T51-$M51)</f>
        <v/>
      </c>
      <c r="BC51" s="32" t="str">
        <f aca="false">IF(OR($T51="",$M51="",$M51=0),"",($T51-$M51)/$M51)</f>
        <v/>
      </c>
      <c r="BD51" s="31" t="str">
        <f aca="false">IF(OR($U51="",$M51=""),"",$U51-$M51)</f>
        <v/>
      </c>
      <c r="BE51" s="32" t="str">
        <f aca="false">IF(OR($U51="",$M51="",$M51=0),"",($U51-$M51)/$M51)</f>
        <v/>
      </c>
      <c r="BF51" s="32" t="str">
        <f aca="false">IF(OR($U51="",$J51="",$J51=0),"",($U51-$J51)/$J51)</f>
        <v/>
      </c>
      <c r="BG51" s="32" t="str">
        <f aca="false">IF(OR($M51="",$K51="",$K51=0),"",($M51-$K51)/$K51)</f>
        <v/>
      </c>
      <c r="BH51" s="32" t="str">
        <f aca="false">IF(OR($W51="",$N51="",$N51=0),"",($W51-$N51)/$N51)</f>
        <v/>
      </c>
      <c r="BI51" s="33" t="str">
        <f aca="false">IF(OR($O51="",$X51=""),"",$O51-$X51)</f>
        <v/>
      </c>
      <c r="BJ51" s="33" t="str">
        <f aca="false">IF(OR($P51="",$Y51=""),"",$P51-$Y51)</f>
        <v/>
      </c>
      <c r="BK51" s="34" t="str">
        <f aca="false">IF(OR($AN51="",$AO51="",$AN51=0),"",$AO51/$AN51)</f>
        <v/>
      </c>
      <c r="BL51" s="34" t="str">
        <f aca="false">IF(OR($AU51="",$AV51="",$AU51=0),"",$AV51/$AU51)</f>
        <v/>
      </c>
      <c r="BM51" s="7" t="str">
        <f aca="false">IF($Z51="","",IF(AND($Z51="Y",$AB51&lt;&gt;"N",$AC51&lt;&gt;"Y"),"Y","N"))</f>
        <v/>
      </c>
      <c r="BN51" s="7" t="str">
        <f aca="false">IF($AH51="","",IF($Z51&lt;&gt;"Y","undefined",IF($AH51&lt;=1,"Y","N")))</f>
        <v/>
      </c>
      <c r="BO51" s="7" t="str">
        <f aca="false">IF($AH51="","",IF($Z51&lt;&gt;"Y","undefined",IF($AH51&lt;=10,"Y","N")))</f>
        <v/>
      </c>
      <c r="BP51" s="7" t="str">
        <f aca="false">IF($AH51="","",IF($Z51&lt;&gt;"Y","undefined",IF($AH51&lt;=100,"Y","N")))</f>
        <v/>
      </c>
    </row>
    <row r="52" customFormat="false" ht="15" hidden="false" customHeight="false" outlineLevel="0" collapsed="false">
      <c r="A52" s="7" t="str">
        <f aca="false">IF($B52="","",$B52&amp;"|"&amp;$C52&amp;"|"&amp;$F52)</f>
        <v/>
      </c>
      <c r="B52" s="5"/>
      <c r="C52" s="5"/>
      <c r="D52" s="5"/>
      <c r="E52" s="5"/>
      <c r="F52" s="5"/>
      <c r="G52" s="5"/>
      <c r="H52" s="5"/>
      <c r="I52" s="5"/>
      <c r="J52" s="20"/>
      <c r="K52" s="20"/>
      <c r="L52" s="28"/>
      <c r="M52" s="20"/>
      <c r="N52" s="28"/>
      <c r="O52" s="19"/>
      <c r="P52" s="19"/>
      <c r="Q52" s="5"/>
      <c r="R52" s="19"/>
      <c r="S52" s="5"/>
      <c r="T52" s="20"/>
      <c r="U52" s="20"/>
      <c r="V52" s="29"/>
      <c r="W52" s="28"/>
      <c r="X52" s="19"/>
      <c r="Y52" s="19"/>
      <c r="Z52" s="5"/>
      <c r="AA52" s="19"/>
      <c r="AB52" s="5"/>
      <c r="AC52" s="5"/>
      <c r="AD52" s="5"/>
      <c r="AE52" s="5"/>
      <c r="AF52" s="30"/>
      <c r="AG52" s="30"/>
      <c r="AH52" s="30"/>
      <c r="AI52" s="30"/>
      <c r="AJ52" s="30"/>
      <c r="AK52" s="30"/>
      <c r="AL52" s="28"/>
      <c r="AM52" s="5"/>
      <c r="AN52" s="19"/>
      <c r="AO52" s="19"/>
      <c r="AP52" s="5"/>
      <c r="AQ52" s="5"/>
      <c r="AR52" s="5"/>
      <c r="AS52" s="5"/>
      <c r="AT52" s="5"/>
      <c r="AU52" s="19"/>
      <c r="AV52" s="19"/>
      <c r="AW52" s="5"/>
      <c r="AX52" s="5"/>
      <c r="AY52" s="19"/>
      <c r="AZ52" s="30"/>
      <c r="BA52" s="5"/>
      <c r="BB52" s="31" t="str">
        <f aca="false">IF(OR($T52="",$M52=""),"",$T52-$M52)</f>
        <v/>
      </c>
      <c r="BC52" s="32" t="str">
        <f aca="false">IF(OR($T52="",$M52="",$M52=0),"",($T52-$M52)/$M52)</f>
        <v/>
      </c>
      <c r="BD52" s="31" t="str">
        <f aca="false">IF(OR($U52="",$M52=""),"",$U52-$M52)</f>
        <v/>
      </c>
      <c r="BE52" s="32" t="str">
        <f aca="false">IF(OR($U52="",$M52="",$M52=0),"",($U52-$M52)/$M52)</f>
        <v/>
      </c>
      <c r="BF52" s="32" t="str">
        <f aca="false">IF(OR($U52="",$J52="",$J52=0),"",($U52-$J52)/$J52)</f>
        <v/>
      </c>
      <c r="BG52" s="32" t="str">
        <f aca="false">IF(OR($M52="",$K52="",$K52=0),"",($M52-$K52)/$K52)</f>
        <v/>
      </c>
      <c r="BH52" s="32" t="str">
        <f aca="false">IF(OR($W52="",$N52="",$N52=0),"",($W52-$N52)/$N52)</f>
        <v/>
      </c>
      <c r="BI52" s="33" t="str">
        <f aca="false">IF(OR($O52="",$X52=""),"",$O52-$X52)</f>
        <v/>
      </c>
      <c r="BJ52" s="33" t="str">
        <f aca="false">IF(OR($P52="",$Y52=""),"",$P52-$Y52)</f>
        <v/>
      </c>
      <c r="BK52" s="34" t="str">
        <f aca="false">IF(OR($AN52="",$AO52="",$AN52=0),"",$AO52/$AN52)</f>
        <v/>
      </c>
      <c r="BL52" s="34" t="str">
        <f aca="false">IF(OR($AU52="",$AV52="",$AU52=0),"",$AV52/$AU52)</f>
        <v/>
      </c>
      <c r="BM52" s="7" t="str">
        <f aca="false">IF($Z52="","",IF(AND($Z52="Y",$AB52&lt;&gt;"N",$AC52&lt;&gt;"Y"),"Y","N"))</f>
        <v/>
      </c>
      <c r="BN52" s="7" t="str">
        <f aca="false">IF($AH52="","",IF($Z52&lt;&gt;"Y","undefined",IF($AH52&lt;=1,"Y","N")))</f>
        <v/>
      </c>
      <c r="BO52" s="7" t="str">
        <f aca="false">IF($AH52="","",IF($Z52&lt;&gt;"Y","undefined",IF($AH52&lt;=10,"Y","N")))</f>
        <v/>
      </c>
      <c r="BP52" s="7" t="str">
        <f aca="false">IF($AH52="","",IF($Z52&lt;&gt;"Y","undefined",IF($AH52&lt;=100,"Y","N")))</f>
        <v/>
      </c>
    </row>
    <row r="53" customFormat="false" ht="15" hidden="false" customHeight="false" outlineLevel="0" collapsed="false">
      <c r="A53" s="7" t="str">
        <f aca="false">IF($B53="","",$B53&amp;"|"&amp;$C53&amp;"|"&amp;$F53)</f>
        <v/>
      </c>
      <c r="B53" s="5"/>
      <c r="C53" s="5"/>
      <c r="D53" s="5"/>
      <c r="E53" s="5"/>
      <c r="F53" s="5"/>
      <c r="G53" s="5"/>
      <c r="H53" s="5"/>
      <c r="I53" s="5"/>
      <c r="J53" s="20"/>
      <c r="K53" s="20"/>
      <c r="L53" s="28"/>
      <c r="M53" s="20"/>
      <c r="N53" s="28"/>
      <c r="O53" s="19"/>
      <c r="P53" s="19"/>
      <c r="Q53" s="5"/>
      <c r="R53" s="19"/>
      <c r="S53" s="5"/>
      <c r="T53" s="20"/>
      <c r="U53" s="20"/>
      <c r="V53" s="29"/>
      <c r="W53" s="28"/>
      <c r="X53" s="19"/>
      <c r="Y53" s="19"/>
      <c r="Z53" s="5"/>
      <c r="AA53" s="19"/>
      <c r="AB53" s="5"/>
      <c r="AC53" s="5"/>
      <c r="AD53" s="5"/>
      <c r="AE53" s="5"/>
      <c r="AF53" s="30"/>
      <c r="AG53" s="30"/>
      <c r="AH53" s="30"/>
      <c r="AI53" s="30"/>
      <c r="AJ53" s="30"/>
      <c r="AK53" s="30"/>
      <c r="AL53" s="28"/>
      <c r="AM53" s="5"/>
      <c r="AN53" s="19"/>
      <c r="AO53" s="19"/>
      <c r="AP53" s="5"/>
      <c r="AQ53" s="5"/>
      <c r="AR53" s="5"/>
      <c r="AS53" s="5"/>
      <c r="AT53" s="5"/>
      <c r="AU53" s="19"/>
      <c r="AV53" s="19"/>
      <c r="AW53" s="5"/>
      <c r="AX53" s="5"/>
      <c r="AY53" s="19"/>
      <c r="AZ53" s="30"/>
      <c r="BA53" s="5"/>
      <c r="BB53" s="31" t="str">
        <f aca="false">IF(OR($T53="",$M53=""),"",$T53-$M53)</f>
        <v/>
      </c>
      <c r="BC53" s="32" t="str">
        <f aca="false">IF(OR($T53="",$M53="",$M53=0),"",($T53-$M53)/$M53)</f>
        <v/>
      </c>
      <c r="BD53" s="31" t="str">
        <f aca="false">IF(OR($U53="",$M53=""),"",$U53-$M53)</f>
        <v/>
      </c>
      <c r="BE53" s="32" t="str">
        <f aca="false">IF(OR($U53="",$M53="",$M53=0),"",($U53-$M53)/$M53)</f>
        <v/>
      </c>
      <c r="BF53" s="32" t="str">
        <f aca="false">IF(OR($U53="",$J53="",$J53=0),"",($U53-$J53)/$J53)</f>
        <v/>
      </c>
      <c r="BG53" s="32" t="str">
        <f aca="false">IF(OR($M53="",$K53="",$K53=0),"",($M53-$K53)/$K53)</f>
        <v/>
      </c>
      <c r="BH53" s="32" t="str">
        <f aca="false">IF(OR($W53="",$N53="",$N53=0),"",($W53-$N53)/$N53)</f>
        <v/>
      </c>
      <c r="BI53" s="33" t="str">
        <f aca="false">IF(OR($O53="",$X53=""),"",$O53-$X53)</f>
        <v/>
      </c>
      <c r="BJ53" s="33" t="str">
        <f aca="false">IF(OR($P53="",$Y53=""),"",$P53-$Y53)</f>
        <v/>
      </c>
      <c r="BK53" s="34" t="str">
        <f aca="false">IF(OR($AN53="",$AO53="",$AN53=0),"",$AO53/$AN53)</f>
        <v/>
      </c>
      <c r="BL53" s="34" t="str">
        <f aca="false">IF(OR($AU53="",$AV53="",$AU53=0),"",$AV53/$AU53)</f>
        <v/>
      </c>
      <c r="BM53" s="7" t="str">
        <f aca="false">IF($Z53="","",IF(AND($Z53="Y",$AB53&lt;&gt;"N",$AC53&lt;&gt;"Y"),"Y","N"))</f>
        <v/>
      </c>
      <c r="BN53" s="7" t="str">
        <f aca="false">IF($AH53="","",IF($Z53&lt;&gt;"Y","undefined",IF($AH53&lt;=1,"Y","N")))</f>
        <v/>
      </c>
      <c r="BO53" s="7" t="str">
        <f aca="false">IF($AH53="","",IF($Z53&lt;&gt;"Y","undefined",IF($AH53&lt;=10,"Y","N")))</f>
        <v/>
      </c>
      <c r="BP53" s="7" t="str">
        <f aca="false">IF($AH53="","",IF($Z53&lt;&gt;"Y","undefined",IF($AH53&lt;=100,"Y","N")))</f>
        <v/>
      </c>
    </row>
    <row r="54" customFormat="false" ht="15" hidden="false" customHeight="false" outlineLevel="0" collapsed="false">
      <c r="A54" s="7" t="str">
        <f aca="false">IF($B54="","",$B54&amp;"|"&amp;$C54&amp;"|"&amp;$F54)</f>
        <v/>
      </c>
      <c r="B54" s="5"/>
      <c r="C54" s="5"/>
      <c r="D54" s="5"/>
      <c r="E54" s="5"/>
      <c r="F54" s="5"/>
      <c r="G54" s="5"/>
      <c r="H54" s="5"/>
      <c r="I54" s="5"/>
      <c r="J54" s="20"/>
      <c r="K54" s="20"/>
      <c r="L54" s="28"/>
      <c r="M54" s="20"/>
      <c r="N54" s="28"/>
      <c r="O54" s="19"/>
      <c r="P54" s="19"/>
      <c r="Q54" s="5"/>
      <c r="R54" s="19"/>
      <c r="S54" s="5"/>
      <c r="T54" s="20"/>
      <c r="U54" s="20"/>
      <c r="V54" s="29"/>
      <c r="W54" s="28"/>
      <c r="X54" s="19"/>
      <c r="Y54" s="19"/>
      <c r="Z54" s="5"/>
      <c r="AA54" s="19"/>
      <c r="AB54" s="5"/>
      <c r="AC54" s="5"/>
      <c r="AD54" s="5"/>
      <c r="AE54" s="5"/>
      <c r="AF54" s="30"/>
      <c r="AG54" s="30"/>
      <c r="AH54" s="30"/>
      <c r="AI54" s="30"/>
      <c r="AJ54" s="30"/>
      <c r="AK54" s="30"/>
      <c r="AL54" s="28"/>
      <c r="AM54" s="5"/>
      <c r="AN54" s="19"/>
      <c r="AO54" s="19"/>
      <c r="AP54" s="5"/>
      <c r="AQ54" s="5"/>
      <c r="AR54" s="5"/>
      <c r="AS54" s="5"/>
      <c r="AT54" s="5"/>
      <c r="AU54" s="19"/>
      <c r="AV54" s="19"/>
      <c r="AW54" s="5"/>
      <c r="AX54" s="5"/>
      <c r="AY54" s="19"/>
      <c r="AZ54" s="30"/>
      <c r="BA54" s="5"/>
      <c r="BB54" s="31" t="str">
        <f aca="false">IF(OR($T54="",$M54=""),"",$T54-$M54)</f>
        <v/>
      </c>
      <c r="BC54" s="32" t="str">
        <f aca="false">IF(OR($T54="",$M54="",$M54=0),"",($T54-$M54)/$M54)</f>
        <v/>
      </c>
      <c r="BD54" s="31" t="str">
        <f aca="false">IF(OR($U54="",$M54=""),"",$U54-$M54)</f>
        <v/>
      </c>
      <c r="BE54" s="32" t="str">
        <f aca="false">IF(OR($U54="",$M54="",$M54=0),"",($U54-$M54)/$M54)</f>
        <v/>
      </c>
      <c r="BF54" s="32" t="str">
        <f aca="false">IF(OR($U54="",$J54="",$J54=0),"",($U54-$J54)/$J54)</f>
        <v/>
      </c>
      <c r="BG54" s="32" t="str">
        <f aca="false">IF(OR($M54="",$K54="",$K54=0),"",($M54-$K54)/$K54)</f>
        <v/>
      </c>
      <c r="BH54" s="32" t="str">
        <f aca="false">IF(OR($W54="",$N54="",$N54=0),"",($W54-$N54)/$N54)</f>
        <v/>
      </c>
      <c r="BI54" s="33" t="str">
        <f aca="false">IF(OR($O54="",$X54=""),"",$O54-$X54)</f>
        <v/>
      </c>
      <c r="BJ54" s="33" t="str">
        <f aca="false">IF(OR($P54="",$Y54=""),"",$P54-$Y54)</f>
        <v/>
      </c>
      <c r="BK54" s="34" t="str">
        <f aca="false">IF(OR($AN54="",$AO54="",$AN54=0),"",$AO54/$AN54)</f>
        <v/>
      </c>
      <c r="BL54" s="34" t="str">
        <f aca="false">IF(OR($AU54="",$AV54="",$AU54=0),"",$AV54/$AU54)</f>
        <v/>
      </c>
      <c r="BM54" s="7" t="str">
        <f aca="false">IF($Z54="","",IF(AND($Z54="Y",$AB54&lt;&gt;"N",$AC54&lt;&gt;"Y"),"Y","N"))</f>
        <v/>
      </c>
      <c r="BN54" s="7" t="str">
        <f aca="false">IF($AH54="","",IF($Z54&lt;&gt;"Y","undefined",IF($AH54&lt;=1,"Y","N")))</f>
        <v/>
      </c>
      <c r="BO54" s="7" t="str">
        <f aca="false">IF($AH54="","",IF($Z54&lt;&gt;"Y","undefined",IF($AH54&lt;=10,"Y","N")))</f>
        <v/>
      </c>
      <c r="BP54" s="7" t="str">
        <f aca="false">IF($AH54="","",IF($Z54&lt;&gt;"Y","undefined",IF($AH54&lt;=100,"Y","N")))</f>
        <v/>
      </c>
    </row>
    <row r="55" customFormat="false" ht="15" hidden="false" customHeight="false" outlineLevel="0" collapsed="false">
      <c r="A55" s="7" t="str">
        <f aca="false">IF($B55="","",$B55&amp;"|"&amp;$C55&amp;"|"&amp;$F55)</f>
        <v/>
      </c>
      <c r="B55" s="5"/>
      <c r="C55" s="5"/>
      <c r="D55" s="5"/>
      <c r="E55" s="5"/>
      <c r="F55" s="5"/>
      <c r="G55" s="5"/>
      <c r="H55" s="5"/>
      <c r="I55" s="5"/>
      <c r="J55" s="20"/>
      <c r="K55" s="20"/>
      <c r="L55" s="28"/>
      <c r="M55" s="20"/>
      <c r="N55" s="28"/>
      <c r="O55" s="19"/>
      <c r="P55" s="19"/>
      <c r="Q55" s="5"/>
      <c r="R55" s="19"/>
      <c r="S55" s="5"/>
      <c r="T55" s="20"/>
      <c r="U55" s="20"/>
      <c r="V55" s="29"/>
      <c r="W55" s="28"/>
      <c r="X55" s="19"/>
      <c r="Y55" s="19"/>
      <c r="Z55" s="5"/>
      <c r="AA55" s="19"/>
      <c r="AB55" s="5"/>
      <c r="AC55" s="5"/>
      <c r="AD55" s="5"/>
      <c r="AE55" s="5"/>
      <c r="AF55" s="30"/>
      <c r="AG55" s="30"/>
      <c r="AH55" s="30"/>
      <c r="AI55" s="30"/>
      <c r="AJ55" s="30"/>
      <c r="AK55" s="30"/>
      <c r="AL55" s="28"/>
      <c r="AM55" s="5"/>
      <c r="AN55" s="19"/>
      <c r="AO55" s="19"/>
      <c r="AP55" s="5"/>
      <c r="AQ55" s="5"/>
      <c r="AR55" s="5"/>
      <c r="AS55" s="5"/>
      <c r="AT55" s="5"/>
      <c r="AU55" s="19"/>
      <c r="AV55" s="19"/>
      <c r="AW55" s="5"/>
      <c r="AX55" s="5"/>
      <c r="AY55" s="19"/>
      <c r="AZ55" s="30"/>
      <c r="BA55" s="5"/>
      <c r="BB55" s="31" t="str">
        <f aca="false">IF(OR($T55="",$M55=""),"",$T55-$M55)</f>
        <v/>
      </c>
      <c r="BC55" s="32" t="str">
        <f aca="false">IF(OR($T55="",$M55="",$M55=0),"",($T55-$M55)/$M55)</f>
        <v/>
      </c>
      <c r="BD55" s="31" t="str">
        <f aca="false">IF(OR($U55="",$M55=""),"",$U55-$M55)</f>
        <v/>
      </c>
      <c r="BE55" s="32" t="str">
        <f aca="false">IF(OR($U55="",$M55="",$M55=0),"",($U55-$M55)/$M55)</f>
        <v/>
      </c>
      <c r="BF55" s="32" t="str">
        <f aca="false">IF(OR($U55="",$J55="",$J55=0),"",($U55-$J55)/$J55)</f>
        <v/>
      </c>
      <c r="BG55" s="32" t="str">
        <f aca="false">IF(OR($M55="",$K55="",$K55=0),"",($M55-$K55)/$K55)</f>
        <v/>
      </c>
      <c r="BH55" s="32" t="str">
        <f aca="false">IF(OR($W55="",$N55="",$N55=0),"",($W55-$N55)/$N55)</f>
        <v/>
      </c>
      <c r="BI55" s="33" t="str">
        <f aca="false">IF(OR($O55="",$X55=""),"",$O55-$X55)</f>
        <v/>
      </c>
      <c r="BJ55" s="33" t="str">
        <f aca="false">IF(OR($P55="",$Y55=""),"",$P55-$Y55)</f>
        <v/>
      </c>
      <c r="BK55" s="34" t="str">
        <f aca="false">IF(OR($AN55="",$AO55="",$AN55=0),"",$AO55/$AN55)</f>
        <v/>
      </c>
      <c r="BL55" s="34" t="str">
        <f aca="false">IF(OR($AU55="",$AV55="",$AU55=0),"",$AV55/$AU55)</f>
        <v/>
      </c>
      <c r="BM55" s="7" t="str">
        <f aca="false">IF($Z55="","",IF(AND($Z55="Y",$AB55&lt;&gt;"N",$AC55&lt;&gt;"Y"),"Y","N"))</f>
        <v/>
      </c>
      <c r="BN55" s="7" t="str">
        <f aca="false">IF($AH55="","",IF($Z55&lt;&gt;"Y","undefined",IF($AH55&lt;=1,"Y","N")))</f>
        <v/>
      </c>
      <c r="BO55" s="7" t="str">
        <f aca="false">IF($AH55="","",IF($Z55&lt;&gt;"Y","undefined",IF($AH55&lt;=10,"Y","N")))</f>
        <v/>
      </c>
      <c r="BP55" s="7" t="str">
        <f aca="false">IF($AH55="","",IF($Z55&lt;&gt;"Y","undefined",IF($AH55&lt;=100,"Y","N")))</f>
        <v/>
      </c>
    </row>
    <row r="56" customFormat="false" ht="15" hidden="false" customHeight="false" outlineLevel="0" collapsed="false">
      <c r="A56" s="7" t="str">
        <f aca="false">IF($B56="","",$B56&amp;"|"&amp;$C56&amp;"|"&amp;$F56)</f>
        <v/>
      </c>
      <c r="B56" s="5"/>
      <c r="C56" s="5"/>
      <c r="D56" s="5"/>
      <c r="E56" s="5"/>
      <c r="F56" s="5"/>
      <c r="G56" s="5"/>
      <c r="H56" s="5"/>
      <c r="I56" s="5"/>
      <c r="J56" s="20"/>
      <c r="K56" s="20"/>
      <c r="L56" s="28"/>
      <c r="M56" s="20"/>
      <c r="N56" s="28"/>
      <c r="O56" s="19"/>
      <c r="P56" s="19"/>
      <c r="Q56" s="5"/>
      <c r="R56" s="19"/>
      <c r="S56" s="5"/>
      <c r="T56" s="20"/>
      <c r="U56" s="20"/>
      <c r="V56" s="29"/>
      <c r="W56" s="28"/>
      <c r="X56" s="19"/>
      <c r="Y56" s="19"/>
      <c r="Z56" s="5"/>
      <c r="AA56" s="19"/>
      <c r="AB56" s="5"/>
      <c r="AC56" s="5"/>
      <c r="AD56" s="5"/>
      <c r="AE56" s="5"/>
      <c r="AF56" s="30"/>
      <c r="AG56" s="30"/>
      <c r="AH56" s="30"/>
      <c r="AI56" s="30"/>
      <c r="AJ56" s="30"/>
      <c r="AK56" s="30"/>
      <c r="AL56" s="28"/>
      <c r="AM56" s="5"/>
      <c r="AN56" s="19"/>
      <c r="AO56" s="19"/>
      <c r="AP56" s="5"/>
      <c r="AQ56" s="5"/>
      <c r="AR56" s="5"/>
      <c r="AS56" s="5"/>
      <c r="AT56" s="5"/>
      <c r="AU56" s="19"/>
      <c r="AV56" s="19"/>
      <c r="AW56" s="5"/>
      <c r="AX56" s="5"/>
      <c r="AY56" s="19"/>
      <c r="AZ56" s="30"/>
      <c r="BA56" s="5"/>
      <c r="BB56" s="31" t="str">
        <f aca="false">IF(OR($T56="",$M56=""),"",$T56-$M56)</f>
        <v/>
      </c>
      <c r="BC56" s="32" t="str">
        <f aca="false">IF(OR($T56="",$M56="",$M56=0),"",($T56-$M56)/$M56)</f>
        <v/>
      </c>
      <c r="BD56" s="31" t="str">
        <f aca="false">IF(OR($U56="",$M56=""),"",$U56-$M56)</f>
        <v/>
      </c>
      <c r="BE56" s="32" t="str">
        <f aca="false">IF(OR($U56="",$M56="",$M56=0),"",($U56-$M56)/$M56)</f>
        <v/>
      </c>
      <c r="BF56" s="32" t="str">
        <f aca="false">IF(OR($U56="",$J56="",$J56=0),"",($U56-$J56)/$J56)</f>
        <v/>
      </c>
      <c r="BG56" s="32" t="str">
        <f aca="false">IF(OR($M56="",$K56="",$K56=0),"",($M56-$K56)/$K56)</f>
        <v/>
      </c>
      <c r="BH56" s="32" t="str">
        <f aca="false">IF(OR($W56="",$N56="",$N56=0),"",($W56-$N56)/$N56)</f>
        <v/>
      </c>
      <c r="BI56" s="33" t="str">
        <f aca="false">IF(OR($O56="",$X56=""),"",$O56-$X56)</f>
        <v/>
      </c>
      <c r="BJ56" s="33" t="str">
        <f aca="false">IF(OR($P56="",$Y56=""),"",$P56-$Y56)</f>
        <v/>
      </c>
      <c r="BK56" s="34" t="str">
        <f aca="false">IF(OR($AN56="",$AO56="",$AN56=0),"",$AO56/$AN56)</f>
        <v/>
      </c>
      <c r="BL56" s="34" t="str">
        <f aca="false">IF(OR($AU56="",$AV56="",$AU56=0),"",$AV56/$AU56)</f>
        <v/>
      </c>
      <c r="BM56" s="7" t="str">
        <f aca="false">IF($Z56="","",IF(AND($Z56="Y",$AB56&lt;&gt;"N",$AC56&lt;&gt;"Y"),"Y","N"))</f>
        <v/>
      </c>
      <c r="BN56" s="7" t="str">
        <f aca="false">IF($AH56="","",IF($Z56&lt;&gt;"Y","undefined",IF($AH56&lt;=1,"Y","N")))</f>
        <v/>
      </c>
      <c r="BO56" s="7" t="str">
        <f aca="false">IF($AH56="","",IF($Z56&lt;&gt;"Y","undefined",IF($AH56&lt;=10,"Y","N")))</f>
        <v/>
      </c>
      <c r="BP56" s="7" t="str">
        <f aca="false">IF($AH56="","",IF($Z56&lt;&gt;"Y","undefined",IF($AH56&lt;=100,"Y","N")))</f>
        <v/>
      </c>
    </row>
    <row r="57" customFormat="false" ht="15" hidden="false" customHeight="false" outlineLevel="0" collapsed="false">
      <c r="A57" s="7" t="str">
        <f aca="false">IF($B57="","",$B57&amp;"|"&amp;$C57&amp;"|"&amp;$F57)</f>
        <v/>
      </c>
      <c r="B57" s="5"/>
      <c r="C57" s="5"/>
      <c r="D57" s="5"/>
      <c r="E57" s="5"/>
      <c r="F57" s="5"/>
      <c r="G57" s="5"/>
      <c r="H57" s="5"/>
      <c r="I57" s="5"/>
      <c r="J57" s="20"/>
      <c r="K57" s="20"/>
      <c r="L57" s="28"/>
      <c r="M57" s="20"/>
      <c r="N57" s="28"/>
      <c r="O57" s="19"/>
      <c r="P57" s="19"/>
      <c r="Q57" s="5"/>
      <c r="R57" s="19"/>
      <c r="S57" s="5"/>
      <c r="T57" s="20"/>
      <c r="U57" s="20"/>
      <c r="V57" s="29"/>
      <c r="W57" s="28"/>
      <c r="X57" s="19"/>
      <c r="Y57" s="19"/>
      <c r="Z57" s="5"/>
      <c r="AA57" s="19"/>
      <c r="AB57" s="5"/>
      <c r="AC57" s="5"/>
      <c r="AD57" s="5"/>
      <c r="AE57" s="5"/>
      <c r="AF57" s="30"/>
      <c r="AG57" s="30"/>
      <c r="AH57" s="30"/>
      <c r="AI57" s="30"/>
      <c r="AJ57" s="30"/>
      <c r="AK57" s="30"/>
      <c r="AL57" s="28"/>
      <c r="AM57" s="5"/>
      <c r="AN57" s="19"/>
      <c r="AO57" s="19"/>
      <c r="AP57" s="5"/>
      <c r="AQ57" s="5"/>
      <c r="AR57" s="5"/>
      <c r="AS57" s="5"/>
      <c r="AT57" s="5"/>
      <c r="AU57" s="19"/>
      <c r="AV57" s="19"/>
      <c r="AW57" s="5"/>
      <c r="AX57" s="5"/>
      <c r="AY57" s="19"/>
      <c r="AZ57" s="30"/>
      <c r="BA57" s="5"/>
      <c r="BB57" s="31" t="str">
        <f aca="false">IF(OR($T57="",$M57=""),"",$T57-$M57)</f>
        <v/>
      </c>
      <c r="BC57" s="32" t="str">
        <f aca="false">IF(OR($T57="",$M57="",$M57=0),"",($T57-$M57)/$M57)</f>
        <v/>
      </c>
      <c r="BD57" s="31" t="str">
        <f aca="false">IF(OR($U57="",$M57=""),"",$U57-$M57)</f>
        <v/>
      </c>
      <c r="BE57" s="32" t="str">
        <f aca="false">IF(OR($U57="",$M57="",$M57=0),"",($U57-$M57)/$M57)</f>
        <v/>
      </c>
      <c r="BF57" s="32" t="str">
        <f aca="false">IF(OR($U57="",$J57="",$J57=0),"",($U57-$J57)/$J57)</f>
        <v/>
      </c>
      <c r="BG57" s="32" t="str">
        <f aca="false">IF(OR($M57="",$K57="",$K57=0),"",($M57-$K57)/$K57)</f>
        <v/>
      </c>
      <c r="BH57" s="32" t="str">
        <f aca="false">IF(OR($W57="",$N57="",$N57=0),"",($W57-$N57)/$N57)</f>
        <v/>
      </c>
      <c r="BI57" s="33" t="str">
        <f aca="false">IF(OR($O57="",$X57=""),"",$O57-$X57)</f>
        <v/>
      </c>
      <c r="BJ57" s="33" t="str">
        <f aca="false">IF(OR($P57="",$Y57=""),"",$P57-$Y57)</f>
        <v/>
      </c>
      <c r="BK57" s="34" t="str">
        <f aca="false">IF(OR($AN57="",$AO57="",$AN57=0),"",$AO57/$AN57)</f>
        <v/>
      </c>
      <c r="BL57" s="34" t="str">
        <f aca="false">IF(OR($AU57="",$AV57="",$AU57=0),"",$AV57/$AU57)</f>
        <v/>
      </c>
      <c r="BM57" s="7" t="str">
        <f aca="false">IF($Z57="","",IF(AND($Z57="Y",$AB57&lt;&gt;"N",$AC57&lt;&gt;"Y"),"Y","N"))</f>
        <v/>
      </c>
      <c r="BN57" s="7" t="str">
        <f aca="false">IF($AH57="","",IF($Z57&lt;&gt;"Y","undefined",IF($AH57&lt;=1,"Y","N")))</f>
        <v/>
      </c>
      <c r="BO57" s="7" t="str">
        <f aca="false">IF($AH57="","",IF($Z57&lt;&gt;"Y","undefined",IF($AH57&lt;=10,"Y","N")))</f>
        <v/>
      </c>
      <c r="BP57" s="7" t="str">
        <f aca="false">IF($AH57="","",IF($Z57&lt;&gt;"Y","undefined",IF($AH57&lt;=100,"Y","N")))</f>
        <v/>
      </c>
    </row>
    <row r="58" customFormat="false" ht="15" hidden="false" customHeight="false" outlineLevel="0" collapsed="false">
      <c r="A58" s="7" t="str">
        <f aca="false">IF($B58="","",$B58&amp;"|"&amp;$C58&amp;"|"&amp;$F58)</f>
        <v/>
      </c>
      <c r="B58" s="5"/>
      <c r="C58" s="5"/>
      <c r="D58" s="5"/>
      <c r="E58" s="5"/>
      <c r="F58" s="5"/>
      <c r="G58" s="5"/>
      <c r="H58" s="5"/>
      <c r="I58" s="5"/>
      <c r="J58" s="20"/>
      <c r="K58" s="20"/>
      <c r="L58" s="28"/>
      <c r="M58" s="20"/>
      <c r="N58" s="28"/>
      <c r="O58" s="19"/>
      <c r="P58" s="19"/>
      <c r="Q58" s="5"/>
      <c r="R58" s="19"/>
      <c r="S58" s="5"/>
      <c r="T58" s="20"/>
      <c r="U58" s="20"/>
      <c r="V58" s="29"/>
      <c r="W58" s="28"/>
      <c r="X58" s="19"/>
      <c r="Y58" s="19"/>
      <c r="Z58" s="5"/>
      <c r="AA58" s="19"/>
      <c r="AB58" s="5"/>
      <c r="AC58" s="5"/>
      <c r="AD58" s="5"/>
      <c r="AE58" s="5"/>
      <c r="AF58" s="30"/>
      <c r="AG58" s="30"/>
      <c r="AH58" s="30"/>
      <c r="AI58" s="30"/>
      <c r="AJ58" s="30"/>
      <c r="AK58" s="30"/>
      <c r="AL58" s="28"/>
      <c r="AM58" s="5"/>
      <c r="AN58" s="19"/>
      <c r="AO58" s="19"/>
      <c r="AP58" s="5"/>
      <c r="AQ58" s="5"/>
      <c r="AR58" s="5"/>
      <c r="AS58" s="5"/>
      <c r="AT58" s="5"/>
      <c r="AU58" s="19"/>
      <c r="AV58" s="19"/>
      <c r="AW58" s="5"/>
      <c r="AX58" s="5"/>
      <c r="AY58" s="19"/>
      <c r="AZ58" s="30"/>
      <c r="BA58" s="5"/>
      <c r="BB58" s="31" t="str">
        <f aca="false">IF(OR($T58="",$M58=""),"",$T58-$M58)</f>
        <v/>
      </c>
      <c r="BC58" s="32" t="str">
        <f aca="false">IF(OR($T58="",$M58="",$M58=0),"",($T58-$M58)/$M58)</f>
        <v/>
      </c>
      <c r="BD58" s="31" t="str">
        <f aca="false">IF(OR($U58="",$M58=""),"",$U58-$M58)</f>
        <v/>
      </c>
      <c r="BE58" s="32" t="str">
        <f aca="false">IF(OR($U58="",$M58="",$M58=0),"",($U58-$M58)/$M58)</f>
        <v/>
      </c>
      <c r="BF58" s="32" t="str">
        <f aca="false">IF(OR($U58="",$J58="",$J58=0),"",($U58-$J58)/$J58)</f>
        <v/>
      </c>
      <c r="BG58" s="32" t="str">
        <f aca="false">IF(OR($M58="",$K58="",$K58=0),"",($M58-$K58)/$K58)</f>
        <v/>
      </c>
      <c r="BH58" s="32" t="str">
        <f aca="false">IF(OR($W58="",$N58="",$N58=0),"",($W58-$N58)/$N58)</f>
        <v/>
      </c>
      <c r="BI58" s="33" t="str">
        <f aca="false">IF(OR($O58="",$X58=""),"",$O58-$X58)</f>
        <v/>
      </c>
      <c r="BJ58" s="33" t="str">
        <f aca="false">IF(OR($P58="",$Y58=""),"",$P58-$Y58)</f>
        <v/>
      </c>
      <c r="BK58" s="34" t="str">
        <f aca="false">IF(OR($AN58="",$AO58="",$AN58=0),"",$AO58/$AN58)</f>
        <v/>
      </c>
      <c r="BL58" s="34" t="str">
        <f aca="false">IF(OR($AU58="",$AV58="",$AU58=0),"",$AV58/$AU58)</f>
        <v/>
      </c>
      <c r="BM58" s="7" t="str">
        <f aca="false">IF($Z58="","",IF(AND($Z58="Y",$AB58&lt;&gt;"N",$AC58&lt;&gt;"Y"),"Y","N"))</f>
        <v/>
      </c>
      <c r="BN58" s="7" t="str">
        <f aca="false">IF($AH58="","",IF($Z58&lt;&gt;"Y","undefined",IF($AH58&lt;=1,"Y","N")))</f>
        <v/>
      </c>
      <c r="BO58" s="7" t="str">
        <f aca="false">IF($AH58="","",IF($Z58&lt;&gt;"Y","undefined",IF($AH58&lt;=10,"Y","N")))</f>
        <v/>
      </c>
      <c r="BP58" s="7" t="str">
        <f aca="false">IF($AH58="","",IF($Z58&lt;&gt;"Y","undefined",IF($AH58&lt;=100,"Y","N")))</f>
        <v/>
      </c>
    </row>
    <row r="59" customFormat="false" ht="15" hidden="false" customHeight="false" outlineLevel="0" collapsed="false">
      <c r="A59" s="7" t="str">
        <f aca="false">IF($B59="","",$B59&amp;"|"&amp;$C59&amp;"|"&amp;$F59)</f>
        <v/>
      </c>
      <c r="B59" s="5"/>
      <c r="C59" s="5"/>
      <c r="D59" s="5"/>
      <c r="E59" s="5"/>
      <c r="F59" s="5"/>
      <c r="G59" s="5"/>
      <c r="H59" s="5"/>
      <c r="I59" s="5"/>
      <c r="J59" s="20"/>
      <c r="K59" s="20"/>
      <c r="L59" s="28"/>
      <c r="M59" s="20"/>
      <c r="N59" s="28"/>
      <c r="O59" s="19"/>
      <c r="P59" s="19"/>
      <c r="Q59" s="5"/>
      <c r="R59" s="19"/>
      <c r="S59" s="5"/>
      <c r="T59" s="20"/>
      <c r="U59" s="20"/>
      <c r="V59" s="29"/>
      <c r="W59" s="28"/>
      <c r="X59" s="19"/>
      <c r="Y59" s="19"/>
      <c r="Z59" s="5"/>
      <c r="AA59" s="19"/>
      <c r="AB59" s="5"/>
      <c r="AC59" s="5"/>
      <c r="AD59" s="5"/>
      <c r="AE59" s="5"/>
      <c r="AF59" s="30"/>
      <c r="AG59" s="30"/>
      <c r="AH59" s="30"/>
      <c r="AI59" s="30"/>
      <c r="AJ59" s="30"/>
      <c r="AK59" s="30"/>
      <c r="AL59" s="28"/>
      <c r="AM59" s="5"/>
      <c r="AN59" s="19"/>
      <c r="AO59" s="19"/>
      <c r="AP59" s="5"/>
      <c r="AQ59" s="5"/>
      <c r="AR59" s="5"/>
      <c r="AS59" s="5"/>
      <c r="AT59" s="5"/>
      <c r="AU59" s="19"/>
      <c r="AV59" s="19"/>
      <c r="AW59" s="5"/>
      <c r="AX59" s="5"/>
      <c r="AY59" s="19"/>
      <c r="AZ59" s="30"/>
      <c r="BA59" s="5"/>
      <c r="BB59" s="31" t="str">
        <f aca="false">IF(OR($T59="",$M59=""),"",$T59-$M59)</f>
        <v/>
      </c>
      <c r="BC59" s="32" t="str">
        <f aca="false">IF(OR($T59="",$M59="",$M59=0),"",($T59-$M59)/$M59)</f>
        <v/>
      </c>
      <c r="BD59" s="31" t="str">
        <f aca="false">IF(OR($U59="",$M59=""),"",$U59-$M59)</f>
        <v/>
      </c>
      <c r="BE59" s="32" t="str">
        <f aca="false">IF(OR($U59="",$M59="",$M59=0),"",($U59-$M59)/$M59)</f>
        <v/>
      </c>
      <c r="BF59" s="32" t="str">
        <f aca="false">IF(OR($U59="",$J59="",$J59=0),"",($U59-$J59)/$J59)</f>
        <v/>
      </c>
      <c r="BG59" s="32" t="str">
        <f aca="false">IF(OR($M59="",$K59="",$K59=0),"",($M59-$K59)/$K59)</f>
        <v/>
      </c>
      <c r="BH59" s="32" t="str">
        <f aca="false">IF(OR($W59="",$N59="",$N59=0),"",($W59-$N59)/$N59)</f>
        <v/>
      </c>
      <c r="BI59" s="33" t="str">
        <f aca="false">IF(OR($O59="",$X59=""),"",$O59-$X59)</f>
        <v/>
      </c>
      <c r="BJ59" s="33" t="str">
        <f aca="false">IF(OR($P59="",$Y59=""),"",$P59-$Y59)</f>
        <v/>
      </c>
      <c r="BK59" s="34" t="str">
        <f aca="false">IF(OR($AN59="",$AO59="",$AN59=0),"",$AO59/$AN59)</f>
        <v/>
      </c>
      <c r="BL59" s="34" t="str">
        <f aca="false">IF(OR($AU59="",$AV59="",$AU59=0),"",$AV59/$AU59)</f>
        <v/>
      </c>
      <c r="BM59" s="7" t="str">
        <f aca="false">IF($Z59="","",IF(AND($Z59="Y",$AB59&lt;&gt;"N",$AC59&lt;&gt;"Y"),"Y","N"))</f>
        <v/>
      </c>
      <c r="BN59" s="7" t="str">
        <f aca="false">IF($AH59="","",IF($Z59&lt;&gt;"Y","undefined",IF($AH59&lt;=1,"Y","N")))</f>
        <v/>
      </c>
      <c r="BO59" s="7" t="str">
        <f aca="false">IF($AH59="","",IF($Z59&lt;&gt;"Y","undefined",IF($AH59&lt;=10,"Y","N")))</f>
        <v/>
      </c>
      <c r="BP59" s="7" t="str">
        <f aca="false">IF($AH59="","",IF($Z59&lt;&gt;"Y","undefined",IF($AH59&lt;=100,"Y","N")))</f>
        <v/>
      </c>
    </row>
    <row r="60" customFormat="false" ht="15" hidden="false" customHeight="false" outlineLevel="0" collapsed="false">
      <c r="A60" s="7" t="str">
        <f aca="false">IF($B60="","",$B60&amp;"|"&amp;$C60&amp;"|"&amp;$F60)</f>
        <v/>
      </c>
      <c r="B60" s="5"/>
      <c r="C60" s="5"/>
      <c r="D60" s="5"/>
      <c r="E60" s="5"/>
      <c r="F60" s="5"/>
      <c r="G60" s="5"/>
      <c r="H60" s="5"/>
      <c r="I60" s="5"/>
      <c r="J60" s="20"/>
      <c r="K60" s="20"/>
      <c r="L60" s="28"/>
      <c r="M60" s="20"/>
      <c r="N60" s="28"/>
      <c r="O60" s="19"/>
      <c r="P60" s="19"/>
      <c r="Q60" s="5"/>
      <c r="R60" s="19"/>
      <c r="S60" s="5"/>
      <c r="T60" s="20"/>
      <c r="U60" s="20"/>
      <c r="V60" s="29"/>
      <c r="W60" s="28"/>
      <c r="X60" s="19"/>
      <c r="Y60" s="19"/>
      <c r="Z60" s="5"/>
      <c r="AA60" s="19"/>
      <c r="AB60" s="5"/>
      <c r="AC60" s="5"/>
      <c r="AD60" s="5"/>
      <c r="AE60" s="5"/>
      <c r="AF60" s="30"/>
      <c r="AG60" s="30"/>
      <c r="AH60" s="30"/>
      <c r="AI60" s="30"/>
      <c r="AJ60" s="30"/>
      <c r="AK60" s="30"/>
      <c r="AL60" s="28"/>
      <c r="AM60" s="5"/>
      <c r="AN60" s="19"/>
      <c r="AO60" s="19"/>
      <c r="AP60" s="5"/>
      <c r="AQ60" s="5"/>
      <c r="AR60" s="5"/>
      <c r="AS60" s="5"/>
      <c r="AT60" s="5"/>
      <c r="AU60" s="19"/>
      <c r="AV60" s="19"/>
      <c r="AW60" s="5"/>
      <c r="AX60" s="5"/>
      <c r="AY60" s="19"/>
      <c r="AZ60" s="30"/>
      <c r="BA60" s="5"/>
      <c r="BB60" s="31" t="str">
        <f aca="false">IF(OR($T60="",$M60=""),"",$T60-$M60)</f>
        <v/>
      </c>
      <c r="BC60" s="32" t="str">
        <f aca="false">IF(OR($T60="",$M60="",$M60=0),"",($T60-$M60)/$M60)</f>
        <v/>
      </c>
      <c r="BD60" s="31" t="str">
        <f aca="false">IF(OR($U60="",$M60=""),"",$U60-$M60)</f>
        <v/>
      </c>
      <c r="BE60" s="32" t="str">
        <f aca="false">IF(OR($U60="",$M60="",$M60=0),"",($U60-$M60)/$M60)</f>
        <v/>
      </c>
      <c r="BF60" s="32" t="str">
        <f aca="false">IF(OR($U60="",$J60="",$J60=0),"",($U60-$J60)/$J60)</f>
        <v/>
      </c>
      <c r="BG60" s="32" t="str">
        <f aca="false">IF(OR($M60="",$K60="",$K60=0),"",($M60-$K60)/$K60)</f>
        <v/>
      </c>
      <c r="BH60" s="32" t="str">
        <f aca="false">IF(OR($W60="",$N60="",$N60=0),"",($W60-$N60)/$N60)</f>
        <v/>
      </c>
      <c r="BI60" s="33" t="str">
        <f aca="false">IF(OR($O60="",$X60=""),"",$O60-$X60)</f>
        <v/>
      </c>
      <c r="BJ60" s="33" t="str">
        <f aca="false">IF(OR($P60="",$Y60=""),"",$P60-$Y60)</f>
        <v/>
      </c>
      <c r="BK60" s="34" t="str">
        <f aca="false">IF(OR($AN60="",$AO60="",$AN60=0),"",$AO60/$AN60)</f>
        <v/>
      </c>
      <c r="BL60" s="34" t="str">
        <f aca="false">IF(OR($AU60="",$AV60="",$AU60=0),"",$AV60/$AU60)</f>
        <v/>
      </c>
      <c r="BM60" s="7" t="str">
        <f aca="false">IF($Z60="","",IF(AND($Z60="Y",$AB60&lt;&gt;"N",$AC60&lt;&gt;"Y"),"Y","N"))</f>
        <v/>
      </c>
      <c r="BN60" s="7" t="str">
        <f aca="false">IF($AH60="","",IF($Z60&lt;&gt;"Y","undefined",IF($AH60&lt;=1,"Y","N")))</f>
        <v/>
      </c>
      <c r="BO60" s="7" t="str">
        <f aca="false">IF($AH60="","",IF($Z60&lt;&gt;"Y","undefined",IF($AH60&lt;=10,"Y","N")))</f>
        <v/>
      </c>
      <c r="BP60" s="7" t="str">
        <f aca="false">IF($AH60="","",IF($Z60&lt;&gt;"Y","undefined",IF($AH60&lt;=100,"Y","N")))</f>
        <v/>
      </c>
    </row>
    <row r="61" customFormat="false" ht="15" hidden="false" customHeight="false" outlineLevel="0" collapsed="false">
      <c r="A61" s="7" t="str">
        <f aca="false">IF($B61="","",$B61&amp;"|"&amp;$C61&amp;"|"&amp;$F61)</f>
        <v/>
      </c>
      <c r="B61" s="5"/>
      <c r="C61" s="5"/>
      <c r="D61" s="5"/>
      <c r="E61" s="5"/>
      <c r="F61" s="5"/>
      <c r="G61" s="5"/>
      <c r="H61" s="5"/>
      <c r="I61" s="5"/>
      <c r="J61" s="20"/>
      <c r="K61" s="20"/>
      <c r="L61" s="28"/>
      <c r="M61" s="20"/>
      <c r="N61" s="28"/>
      <c r="O61" s="19"/>
      <c r="P61" s="19"/>
      <c r="Q61" s="5"/>
      <c r="R61" s="19"/>
      <c r="S61" s="5"/>
      <c r="T61" s="20"/>
      <c r="U61" s="20"/>
      <c r="V61" s="29"/>
      <c r="W61" s="28"/>
      <c r="X61" s="19"/>
      <c r="Y61" s="19"/>
      <c r="Z61" s="5"/>
      <c r="AA61" s="19"/>
      <c r="AB61" s="5"/>
      <c r="AC61" s="5"/>
      <c r="AD61" s="5"/>
      <c r="AE61" s="5"/>
      <c r="AF61" s="30"/>
      <c r="AG61" s="30"/>
      <c r="AH61" s="30"/>
      <c r="AI61" s="30"/>
      <c r="AJ61" s="30"/>
      <c r="AK61" s="30"/>
      <c r="AL61" s="28"/>
      <c r="AM61" s="5"/>
      <c r="AN61" s="19"/>
      <c r="AO61" s="19"/>
      <c r="AP61" s="5"/>
      <c r="AQ61" s="5"/>
      <c r="AR61" s="5"/>
      <c r="AS61" s="5"/>
      <c r="AT61" s="5"/>
      <c r="AU61" s="19"/>
      <c r="AV61" s="19"/>
      <c r="AW61" s="5"/>
      <c r="AX61" s="5"/>
      <c r="AY61" s="19"/>
      <c r="AZ61" s="30"/>
      <c r="BA61" s="5"/>
      <c r="BB61" s="31" t="str">
        <f aca="false">IF(OR($T61="",$M61=""),"",$T61-$M61)</f>
        <v/>
      </c>
      <c r="BC61" s="32" t="str">
        <f aca="false">IF(OR($T61="",$M61="",$M61=0),"",($T61-$M61)/$M61)</f>
        <v/>
      </c>
      <c r="BD61" s="31" t="str">
        <f aca="false">IF(OR($U61="",$M61=""),"",$U61-$M61)</f>
        <v/>
      </c>
      <c r="BE61" s="32" t="str">
        <f aca="false">IF(OR($U61="",$M61="",$M61=0),"",($U61-$M61)/$M61)</f>
        <v/>
      </c>
      <c r="BF61" s="32" t="str">
        <f aca="false">IF(OR($U61="",$J61="",$J61=0),"",($U61-$J61)/$J61)</f>
        <v/>
      </c>
      <c r="BG61" s="32" t="str">
        <f aca="false">IF(OR($M61="",$K61="",$K61=0),"",($M61-$K61)/$K61)</f>
        <v/>
      </c>
      <c r="BH61" s="32" t="str">
        <f aca="false">IF(OR($W61="",$N61="",$N61=0),"",($W61-$N61)/$N61)</f>
        <v/>
      </c>
      <c r="BI61" s="33" t="str">
        <f aca="false">IF(OR($O61="",$X61=""),"",$O61-$X61)</f>
        <v/>
      </c>
      <c r="BJ61" s="33" t="str">
        <f aca="false">IF(OR($P61="",$Y61=""),"",$P61-$Y61)</f>
        <v/>
      </c>
      <c r="BK61" s="34" t="str">
        <f aca="false">IF(OR($AN61="",$AO61="",$AN61=0),"",$AO61/$AN61)</f>
        <v/>
      </c>
      <c r="BL61" s="34" t="str">
        <f aca="false">IF(OR($AU61="",$AV61="",$AU61=0),"",$AV61/$AU61)</f>
        <v/>
      </c>
      <c r="BM61" s="7" t="str">
        <f aca="false">IF($Z61="","",IF(AND($Z61="Y",$AB61&lt;&gt;"N",$AC61&lt;&gt;"Y"),"Y","N"))</f>
        <v/>
      </c>
      <c r="BN61" s="7" t="str">
        <f aca="false">IF($AH61="","",IF($Z61&lt;&gt;"Y","undefined",IF($AH61&lt;=1,"Y","N")))</f>
        <v/>
      </c>
      <c r="BO61" s="7" t="str">
        <f aca="false">IF($AH61="","",IF($Z61&lt;&gt;"Y","undefined",IF($AH61&lt;=10,"Y","N")))</f>
        <v/>
      </c>
      <c r="BP61" s="7" t="str">
        <f aca="false">IF($AH61="","",IF($Z61&lt;&gt;"Y","undefined",IF($AH61&lt;=100,"Y","N")))</f>
        <v/>
      </c>
    </row>
    <row r="62" customFormat="false" ht="15" hidden="false" customHeight="false" outlineLevel="0" collapsed="false">
      <c r="A62" s="7" t="str">
        <f aca="false">IF($B62="","",$B62&amp;"|"&amp;$C62&amp;"|"&amp;$F62)</f>
        <v/>
      </c>
      <c r="B62" s="5"/>
      <c r="C62" s="5"/>
      <c r="D62" s="5"/>
      <c r="E62" s="5"/>
      <c r="F62" s="5"/>
      <c r="G62" s="5"/>
      <c r="H62" s="5"/>
      <c r="I62" s="5"/>
      <c r="J62" s="20"/>
      <c r="K62" s="20"/>
      <c r="L62" s="28"/>
      <c r="M62" s="20"/>
      <c r="N62" s="28"/>
      <c r="O62" s="19"/>
      <c r="P62" s="19"/>
      <c r="Q62" s="5"/>
      <c r="R62" s="19"/>
      <c r="S62" s="5"/>
      <c r="T62" s="20"/>
      <c r="U62" s="20"/>
      <c r="V62" s="29"/>
      <c r="W62" s="28"/>
      <c r="X62" s="19"/>
      <c r="Y62" s="19"/>
      <c r="Z62" s="5"/>
      <c r="AA62" s="19"/>
      <c r="AB62" s="5"/>
      <c r="AC62" s="5"/>
      <c r="AD62" s="5"/>
      <c r="AE62" s="5"/>
      <c r="AF62" s="30"/>
      <c r="AG62" s="30"/>
      <c r="AH62" s="30"/>
      <c r="AI62" s="30"/>
      <c r="AJ62" s="30"/>
      <c r="AK62" s="30"/>
      <c r="AL62" s="28"/>
      <c r="AM62" s="5"/>
      <c r="AN62" s="19"/>
      <c r="AO62" s="19"/>
      <c r="AP62" s="5"/>
      <c r="AQ62" s="5"/>
      <c r="AR62" s="5"/>
      <c r="AS62" s="5"/>
      <c r="AT62" s="5"/>
      <c r="AU62" s="19"/>
      <c r="AV62" s="19"/>
      <c r="AW62" s="5"/>
      <c r="AX62" s="5"/>
      <c r="AY62" s="19"/>
      <c r="AZ62" s="30"/>
      <c r="BA62" s="5"/>
      <c r="BB62" s="31" t="str">
        <f aca="false">IF(OR($T62="",$M62=""),"",$T62-$M62)</f>
        <v/>
      </c>
      <c r="BC62" s="32" t="str">
        <f aca="false">IF(OR($T62="",$M62="",$M62=0),"",($T62-$M62)/$M62)</f>
        <v/>
      </c>
      <c r="BD62" s="31" t="str">
        <f aca="false">IF(OR($U62="",$M62=""),"",$U62-$M62)</f>
        <v/>
      </c>
      <c r="BE62" s="32" t="str">
        <f aca="false">IF(OR($U62="",$M62="",$M62=0),"",($U62-$M62)/$M62)</f>
        <v/>
      </c>
      <c r="BF62" s="32" t="str">
        <f aca="false">IF(OR($U62="",$J62="",$J62=0),"",($U62-$J62)/$J62)</f>
        <v/>
      </c>
      <c r="BG62" s="32" t="str">
        <f aca="false">IF(OR($M62="",$K62="",$K62=0),"",($M62-$K62)/$K62)</f>
        <v/>
      </c>
      <c r="BH62" s="32" t="str">
        <f aca="false">IF(OR($W62="",$N62="",$N62=0),"",($W62-$N62)/$N62)</f>
        <v/>
      </c>
      <c r="BI62" s="33" t="str">
        <f aca="false">IF(OR($O62="",$X62=""),"",$O62-$X62)</f>
        <v/>
      </c>
      <c r="BJ62" s="33" t="str">
        <f aca="false">IF(OR($P62="",$Y62=""),"",$P62-$Y62)</f>
        <v/>
      </c>
      <c r="BK62" s="34" t="str">
        <f aca="false">IF(OR($AN62="",$AO62="",$AN62=0),"",$AO62/$AN62)</f>
        <v/>
      </c>
      <c r="BL62" s="34" t="str">
        <f aca="false">IF(OR($AU62="",$AV62="",$AU62=0),"",$AV62/$AU62)</f>
        <v/>
      </c>
      <c r="BM62" s="7" t="str">
        <f aca="false">IF($Z62="","",IF(AND($Z62="Y",$AB62&lt;&gt;"N",$AC62&lt;&gt;"Y"),"Y","N"))</f>
        <v/>
      </c>
      <c r="BN62" s="7" t="str">
        <f aca="false">IF($AH62="","",IF($Z62&lt;&gt;"Y","undefined",IF($AH62&lt;=1,"Y","N")))</f>
        <v/>
      </c>
      <c r="BO62" s="7" t="str">
        <f aca="false">IF($AH62="","",IF($Z62&lt;&gt;"Y","undefined",IF($AH62&lt;=10,"Y","N")))</f>
        <v/>
      </c>
      <c r="BP62" s="7" t="str">
        <f aca="false">IF($AH62="","",IF($Z62&lt;&gt;"Y","undefined",IF($AH62&lt;=100,"Y","N")))</f>
        <v/>
      </c>
    </row>
    <row r="63" customFormat="false" ht="15" hidden="false" customHeight="false" outlineLevel="0" collapsed="false">
      <c r="A63" s="7" t="str">
        <f aca="false">IF($B63="","",$B63&amp;"|"&amp;$C63&amp;"|"&amp;$F63)</f>
        <v/>
      </c>
      <c r="B63" s="5"/>
      <c r="C63" s="5"/>
      <c r="D63" s="5"/>
      <c r="E63" s="5"/>
      <c r="F63" s="5"/>
      <c r="G63" s="5"/>
      <c r="H63" s="5"/>
      <c r="I63" s="5"/>
      <c r="J63" s="20"/>
      <c r="K63" s="20"/>
      <c r="L63" s="28"/>
      <c r="M63" s="20"/>
      <c r="N63" s="28"/>
      <c r="O63" s="19"/>
      <c r="P63" s="19"/>
      <c r="Q63" s="5"/>
      <c r="R63" s="19"/>
      <c r="S63" s="5"/>
      <c r="T63" s="20"/>
      <c r="U63" s="20"/>
      <c r="V63" s="29"/>
      <c r="W63" s="28"/>
      <c r="X63" s="19"/>
      <c r="Y63" s="19"/>
      <c r="Z63" s="5"/>
      <c r="AA63" s="19"/>
      <c r="AB63" s="5"/>
      <c r="AC63" s="5"/>
      <c r="AD63" s="5"/>
      <c r="AE63" s="5"/>
      <c r="AF63" s="30"/>
      <c r="AG63" s="30"/>
      <c r="AH63" s="30"/>
      <c r="AI63" s="30"/>
      <c r="AJ63" s="30"/>
      <c r="AK63" s="30"/>
      <c r="AL63" s="28"/>
      <c r="AM63" s="5"/>
      <c r="AN63" s="19"/>
      <c r="AO63" s="19"/>
      <c r="AP63" s="5"/>
      <c r="AQ63" s="5"/>
      <c r="AR63" s="5"/>
      <c r="AS63" s="5"/>
      <c r="AT63" s="5"/>
      <c r="AU63" s="19"/>
      <c r="AV63" s="19"/>
      <c r="AW63" s="5"/>
      <c r="AX63" s="5"/>
      <c r="AY63" s="19"/>
      <c r="AZ63" s="30"/>
      <c r="BA63" s="5"/>
      <c r="BB63" s="31" t="str">
        <f aca="false">IF(OR($T63="",$M63=""),"",$T63-$M63)</f>
        <v/>
      </c>
      <c r="BC63" s="32" t="str">
        <f aca="false">IF(OR($T63="",$M63="",$M63=0),"",($T63-$M63)/$M63)</f>
        <v/>
      </c>
      <c r="BD63" s="31" t="str">
        <f aca="false">IF(OR($U63="",$M63=""),"",$U63-$M63)</f>
        <v/>
      </c>
      <c r="BE63" s="32" t="str">
        <f aca="false">IF(OR($U63="",$M63="",$M63=0),"",($U63-$M63)/$M63)</f>
        <v/>
      </c>
      <c r="BF63" s="32" t="str">
        <f aca="false">IF(OR($U63="",$J63="",$J63=0),"",($U63-$J63)/$J63)</f>
        <v/>
      </c>
      <c r="BG63" s="32" t="str">
        <f aca="false">IF(OR($M63="",$K63="",$K63=0),"",($M63-$K63)/$K63)</f>
        <v/>
      </c>
      <c r="BH63" s="32" t="str">
        <f aca="false">IF(OR($W63="",$N63="",$N63=0),"",($W63-$N63)/$N63)</f>
        <v/>
      </c>
      <c r="BI63" s="33" t="str">
        <f aca="false">IF(OR($O63="",$X63=""),"",$O63-$X63)</f>
        <v/>
      </c>
      <c r="BJ63" s="33" t="str">
        <f aca="false">IF(OR($P63="",$Y63=""),"",$P63-$Y63)</f>
        <v/>
      </c>
      <c r="BK63" s="34" t="str">
        <f aca="false">IF(OR($AN63="",$AO63="",$AN63=0),"",$AO63/$AN63)</f>
        <v/>
      </c>
      <c r="BL63" s="34" t="str">
        <f aca="false">IF(OR($AU63="",$AV63="",$AU63=0),"",$AV63/$AU63)</f>
        <v/>
      </c>
      <c r="BM63" s="7" t="str">
        <f aca="false">IF($Z63="","",IF(AND($Z63="Y",$AB63&lt;&gt;"N",$AC63&lt;&gt;"Y"),"Y","N"))</f>
        <v/>
      </c>
      <c r="BN63" s="7" t="str">
        <f aca="false">IF($AH63="","",IF($Z63&lt;&gt;"Y","undefined",IF($AH63&lt;=1,"Y","N")))</f>
        <v/>
      </c>
      <c r="BO63" s="7" t="str">
        <f aca="false">IF($AH63="","",IF($Z63&lt;&gt;"Y","undefined",IF($AH63&lt;=10,"Y","N")))</f>
        <v/>
      </c>
      <c r="BP63" s="7" t="str">
        <f aca="false">IF($AH63="","",IF($Z63&lt;&gt;"Y","undefined",IF($AH63&lt;=100,"Y","N")))</f>
        <v/>
      </c>
    </row>
    <row r="64" customFormat="false" ht="15" hidden="false" customHeight="false" outlineLevel="0" collapsed="false">
      <c r="A64" s="7" t="str">
        <f aca="false">IF($B64="","",$B64&amp;"|"&amp;$C64&amp;"|"&amp;$F64)</f>
        <v/>
      </c>
      <c r="B64" s="5"/>
      <c r="C64" s="5"/>
      <c r="D64" s="5"/>
      <c r="E64" s="5"/>
      <c r="F64" s="5"/>
      <c r="G64" s="5"/>
      <c r="H64" s="5"/>
      <c r="I64" s="5"/>
      <c r="J64" s="20"/>
      <c r="K64" s="20"/>
      <c r="L64" s="28"/>
      <c r="M64" s="20"/>
      <c r="N64" s="28"/>
      <c r="O64" s="19"/>
      <c r="P64" s="19"/>
      <c r="Q64" s="5"/>
      <c r="R64" s="19"/>
      <c r="S64" s="5"/>
      <c r="T64" s="20"/>
      <c r="U64" s="20"/>
      <c r="V64" s="29"/>
      <c r="W64" s="28"/>
      <c r="X64" s="19"/>
      <c r="Y64" s="19"/>
      <c r="Z64" s="5"/>
      <c r="AA64" s="19"/>
      <c r="AB64" s="5"/>
      <c r="AC64" s="5"/>
      <c r="AD64" s="5"/>
      <c r="AE64" s="5"/>
      <c r="AF64" s="30"/>
      <c r="AG64" s="30"/>
      <c r="AH64" s="30"/>
      <c r="AI64" s="30"/>
      <c r="AJ64" s="30"/>
      <c r="AK64" s="30"/>
      <c r="AL64" s="28"/>
      <c r="AM64" s="5"/>
      <c r="AN64" s="19"/>
      <c r="AO64" s="19"/>
      <c r="AP64" s="5"/>
      <c r="AQ64" s="5"/>
      <c r="AR64" s="5"/>
      <c r="AS64" s="5"/>
      <c r="AT64" s="5"/>
      <c r="AU64" s="19"/>
      <c r="AV64" s="19"/>
      <c r="AW64" s="5"/>
      <c r="AX64" s="5"/>
      <c r="AY64" s="19"/>
      <c r="AZ64" s="30"/>
      <c r="BA64" s="5"/>
      <c r="BB64" s="31" t="str">
        <f aca="false">IF(OR($T64="",$M64=""),"",$T64-$M64)</f>
        <v/>
      </c>
      <c r="BC64" s="32" t="str">
        <f aca="false">IF(OR($T64="",$M64="",$M64=0),"",($T64-$M64)/$M64)</f>
        <v/>
      </c>
      <c r="BD64" s="31" t="str">
        <f aca="false">IF(OR($U64="",$M64=""),"",$U64-$M64)</f>
        <v/>
      </c>
      <c r="BE64" s="32" t="str">
        <f aca="false">IF(OR($U64="",$M64="",$M64=0),"",($U64-$M64)/$M64)</f>
        <v/>
      </c>
      <c r="BF64" s="32" t="str">
        <f aca="false">IF(OR($U64="",$J64="",$J64=0),"",($U64-$J64)/$J64)</f>
        <v/>
      </c>
      <c r="BG64" s="32" t="str">
        <f aca="false">IF(OR($M64="",$K64="",$K64=0),"",($M64-$K64)/$K64)</f>
        <v/>
      </c>
      <c r="BH64" s="32" t="str">
        <f aca="false">IF(OR($W64="",$N64="",$N64=0),"",($W64-$N64)/$N64)</f>
        <v/>
      </c>
      <c r="BI64" s="33" t="str">
        <f aca="false">IF(OR($O64="",$X64=""),"",$O64-$X64)</f>
        <v/>
      </c>
      <c r="BJ64" s="33" t="str">
        <f aca="false">IF(OR($P64="",$Y64=""),"",$P64-$Y64)</f>
        <v/>
      </c>
      <c r="BK64" s="34" t="str">
        <f aca="false">IF(OR($AN64="",$AO64="",$AN64=0),"",$AO64/$AN64)</f>
        <v/>
      </c>
      <c r="BL64" s="34" t="str">
        <f aca="false">IF(OR($AU64="",$AV64="",$AU64=0),"",$AV64/$AU64)</f>
        <v/>
      </c>
      <c r="BM64" s="7" t="str">
        <f aca="false">IF($Z64="","",IF(AND($Z64="Y",$AB64&lt;&gt;"N",$AC64&lt;&gt;"Y"),"Y","N"))</f>
        <v/>
      </c>
      <c r="BN64" s="7" t="str">
        <f aca="false">IF($AH64="","",IF($Z64&lt;&gt;"Y","undefined",IF($AH64&lt;=1,"Y","N")))</f>
        <v/>
      </c>
      <c r="BO64" s="7" t="str">
        <f aca="false">IF($AH64="","",IF($Z64&lt;&gt;"Y","undefined",IF($AH64&lt;=10,"Y","N")))</f>
        <v/>
      </c>
      <c r="BP64" s="7" t="str">
        <f aca="false">IF($AH64="","",IF($Z64&lt;&gt;"Y","undefined",IF($AH64&lt;=100,"Y","N")))</f>
        <v/>
      </c>
    </row>
    <row r="65" customFormat="false" ht="15" hidden="false" customHeight="false" outlineLevel="0" collapsed="false">
      <c r="A65" s="7" t="str">
        <f aca="false">IF($B65="","",$B65&amp;"|"&amp;$C65&amp;"|"&amp;$F65)</f>
        <v/>
      </c>
      <c r="B65" s="5"/>
      <c r="C65" s="5"/>
      <c r="D65" s="5"/>
      <c r="E65" s="5"/>
      <c r="F65" s="5"/>
      <c r="G65" s="5"/>
      <c r="H65" s="5"/>
      <c r="I65" s="5"/>
      <c r="J65" s="20"/>
      <c r="K65" s="20"/>
      <c r="L65" s="28"/>
      <c r="M65" s="20"/>
      <c r="N65" s="28"/>
      <c r="O65" s="19"/>
      <c r="P65" s="19"/>
      <c r="Q65" s="5"/>
      <c r="R65" s="19"/>
      <c r="S65" s="5"/>
      <c r="T65" s="20"/>
      <c r="U65" s="20"/>
      <c r="V65" s="29"/>
      <c r="W65" s="28"/>
      <c r="X65" s="19"/>
      <c r="Y65" s="19"/>
      <c r="Z65" s="5"/>
      <c r="AA65" s="19"/>
      <c r="AB65" s="5"/>
      <c r="AC65" s="5"/>
      <c r="AD65" s="5"/>
      <c r="AE65" s="5"/>
      <c r="AF65" s="30"/>
      <c r="AG65" s="30"/>
      <c r="AH65" s="30"/>
      <c r="AI65" s="30"/>
      <c r="AJ65" s="30"/>
      <c r="AK65" s="30"/>
      <c r="AL65" s="28"/>
      <c r="AM65" s="5"/>
      <c r="AN65" s="19"/>
      <c r="AO65" s="19"/>
      <c r="AP65" s="5"/>
      <c r="AQ65" s="5"/>
      <c r="AR65" s="5"/>
      <c r="AS65" s="5"/>
      <c r="AT65" s="5"/>
      <c r="AU65" s="19"/>
      <c r="AV65" s="19"/>
      <c r="AW65" s="5"/>
      <c r="AX65" s="5"/>
      <c r="AY65" s="19"/>
      <c r="AZ65" s="30"/>
      <c r="BA65" s="5"/>
      <c r="BB65" s="31" t="str">
        <f aca="false">IF(OR($T65="",$M65=""),"",$T65-$M65)</f>
        <v/>
      </c>
      <c r="BC65" s="32" t="str">
        <f aca="false">IF(OR($T65="",$M65="",$M65=0),"",($T65-$M65)/$M65)</f>
        <v/>
      </c>
      <c r="BD65" s="31" t="str">
        <f aca="false">IF(OR($U65="",$M65=""),"",$U65-$M65)</f>
        <v/>
      </c>
      <c r="BE65" s="32" t="str">
        <f aca="false">IF(OR($U65="",$M65="",$M65=0),"",($U65-$M65)/$M65)</f>
        <v/>
      </c>
      <c r="BF65" s="32" t="str">
        <f aca="false">IF(OR($U65="",$J65="",$J65=0),"",($U65-$J65)/$J65)</f>
        <v/>
      </c>
      <c r="BG65" s="32" t="str">
        <f aca="false">IF(OR($M65="",$K65="",$K65=0),"",($M65-$K65)/$K65)</f>
        <v/>
      </c>
      <c r="BH65" s="32" t="str">
        <f aca="false">IF(OR($W65="",$N65="",$N65=0),"",($W65-$N65)/$N65)</f>
        <v/>
      </c>
      <c r="BI65" s="33" t="str">
        <f aca="false">IF(OR($O65="",$X65=""),"",$O65-$X65)</f>
        <v/>
      </c>
      <c r="BJ65" s="33" t="str">
        <f aca="false">IF(OR($P65="",$Y65=""),"",$P65-$Y65)</f>
        <v/>
      </c>
      <c r="BK65" s="34" t="str">
        <f aca="false">IF(OR($AN65="",$AO65="",$AN65=0),"",$AO65/$AN65)</f>
        <v/>
      </c>
      <c r="BL65" s="34" t="str">
        <f aca="false">IF(OR($AU65="",$AV65="",$AU65=0),"",$AV65/$AU65)</f>
        <v/>
      </c>
      <c r="BM65" s="7" t="str">
        <f aca="false">IF($Z65="","",IF(AND($Z65="Y",$AB65&lt;&gt;"N",$AC65&lt;&gt;"Y"),"Y","N"))</f>
        <v/>
      </c>
      <c r="BN65" s="7" t="str">
        <f aca="false">IF($AH65="","",IF($Z65&lt;&gt;"Y","undefined",IF($AH65&lt;=1,"Y","N")))</f>
        <v/>
      </c>
      <c r="BO65" s="7" t="str">
        <f aca="false">IF($AH65="","",IF($Z65&lt;&gt;"Y","undefined",IF($AH65&lt;=10,"Y","N")))</f>
        <v/>
      </c>
      <c r="BP65" s="7" t="str">
        <f aca="false">IF($AH65="","",IF($Z65&lt;&gt;"Y","undefined",IF($AH65&lt;=100,"Y","N")))</f>
        <v/>
      </c>
    </row>
    <row r="66" customFormat="false" ht="15" hidden="false" customHeight="false" outlineLevel="0" collapsed="false">
      <c r="A66" s="7" t="str">
        <f aca="false">IF($B66="","",$B66&amp;"|"&amp;$C66&amp;"|"&amp;$F66)</f>
        <v/>
      </c>
      <c r="B66" s="5"/>
      <c r="C66" s="5"/>
      <c r="D66" s="5"/>
      <c r="E66" s="5"/>
      <c r="F66" s="5"/>
      <c r="G66" s="5"/>
      <c r="H66" s="5"/>
      <c r="I66" s="5"/>
      <c r="J66" s="20"/>
      <c r="K66" s="20"/>
      <c r="L66" s="28"/>
      <c r="M66" s="20"/>
      <c r="N66" s="28"/>
      <c r="O66" s="19"/>
      <c r="P66" s="19"/>
      <c r="Q66" s="5"/>
      <c r="R66" s="19"/>
      <c r="S66" s="5"/>
      <c r="T66" s="20"/>
      <c r="U66" s="20"/>
      <c r="V66" s="29"/>
      <c r="W66" s="28"/>
      <c r="X66" s="19"/>
      <c r="Y66" s="19"/>
      <c r="Z66" s="5"/>
      <c r="AA66" s="19"/>
      <c r="AB66" s="5"/>
      <c r="AC66" s="5"/>
      <c r="AD66" s="5"/>
      <c r="AE66" s="5"/>
      <c r="AF66" s="30"/>
      <c r="AG66" s="30"/>
      <c r="AH66" s="30"/>
      <c r="AI66" s="30"/>
      <c r="AJ66" s="30"/>
      <c r="AK66" s="30"/>
      <c r="AL66" s="28"/>
      <c r="AM66" s="5"/>
      <c r="AN66" s="19"/>
      <c r="AO66" s="19"/>
      <c r="AP66" s="5"/>
      <c r="AQ66" s="5"/>
      <c r="AR66" s="5"/>
      <c r="AS66" s="5"/>
      <c r="AT66" s="5"/>
      <c r="AU66" s="19"/>
      <c r="AV66" s="19"/>
      <c r="AW66" s="5"/>
      <c r="AX66" s="5"/>
      <c r="AY66" s="19"/>
      <c r="AZ66" s="30"/>
      <c r="BA66" s="5"/>
      <c r="BB66" s="31" t="str">
        <f aca="false">IF(OR($T66="",$M66=""),"",$T66-$M66)</f>
        <v/>
      </c>
      <c r="BC66" s="32" t="str">
        <f aca="false">IF(OR($T66="",$M66="",$M66=0),"",($T66-$M66)/$M66)</f>
        <v/>
      </c>
      <c r="BD66" s="31" t="str">
        <f aca="false">IF(OR($U66="",$M66=""),"",$U66-$M66)</f>
        <v/>
      </c>
      <c r="BE66" s="32" t="str">
        <f aca="false">IF(OR($U66="",$M66="",$M66=0),"",($U66-$M66)/$M66)</f>
        <v/>
      </c>
      <c r="BF66" s="32" t="str">
        <f aca="false">IF(OR($U66="",$J66="",$J66=0),"",($U66-$J66)/$J66)</f>
        <v/>
      </c>
      <c r="BG66" s="32" t="str">
        <f aca="false">IF(OR($M66="",$K66="",$K66=0),"",($M66-$K66)/$K66)</f>
        <v/>
      </c>
      <c r="BH66" s="32" t="str">
        <f aca="false">IF(OR($W66="",$N66="",$N66=0),"",($W66-$N66)/$N66)</f>
        <v/>
      </c>
      <c r="BI66" s="33" t="str">
        <f aca="false">IF(OR($O66="",$X66=""),"",$O66-$X66)</f>
        <v/>
      </c>
      <c r="BJ66" s="33" t="str">
        <f aca="false">IF(OR($P66="",$Y66=""),"",$P66-$Y66)</f>
        <v/>
      </c>
      <c r="BK66" s="34" t="str">
        <f aca="false">IF(OR($AN66="",$AO66="",$AN66=0),"",$AO66/$AN66)</f>
        <v/>
      </c>
      <c r="BL66" s="34" t="str">
        <f aca="false">IF(OR($AU66="",$AV66="",$AU66=0),"",$AV66/$AU66)</f>
        <v/>
      </c>
      <c r="BM66" s="7" t="str">
        <f aca="false">IF($Z66="","",IF(AND($Z66="Y",$AB66&lt;&gt;"N",$AC66&lt;&gt;"Y"),"Y","N"))</f>
        <v/>
      </c>
      <c r="BN66" s="7" t="str">
        <f aca="false">IF($AH66="","",IF($Z66&lt;&gt;"Y","undefined",IF($AH66&lt;=1,"Y","N")))</f>
        <v/>
      </c>
      <c r="BO66" s="7" t="str">
        <f aca="false">IF($AH66="","",IF($Z66&lt;&gt;"Y","undefined",IF($AH66&lt;=10,"Y","N")))</f>
        <v/>
      </c>
      <c r="BP66" s="7" t="str">
        <f aca="false">IF($AH66="","",IF($Z66&lt;&gt;"Y","undefined",IF($AH66&lt;=100,"Y","N")))</f>
        <v/>
      </c>
    </row>
    <row r="67" customFormat="false" ht="15" hidden="false" customHeight="false" outlineLevel="0" collapsed="false">
      <c r="A67" s="7" t="str">
        <f aca="false">IF($B67="","",$B67&amp;"|"&amp;$C67&amp;"|"&amp;$F67)</f>
        <v/>
      </c>
      <c r="B67" s="5"/>
      <c r="C67" s="5"/>
      <c r="D67" s="5"/>
      <c r="E67" s="5"/>
      <c r="F67" s="5"/>
      <c r="G67" s="5"/>
      <c r="H67" s="5"/>
      <c r="I67" s="5"/>
      <c r="J67" s="20"/>
      <c r="K67" s="20"/>
      <c r="L67" s="28"/>
      <c r="M67" s="20"/>
      <c r="N67" s="28"/>
      <c r="O67" s="19"/>
      <c r="P67" s="19"/>
      <c r="Q67" s="5"/>
      <c r="R67" s="19"/>
      <c r="S67" s="5"/>
      <c r="T67" s="20"/>
      <c r="U67" s="20"/>
      <c r="V67" s="29"/>
      <c r="W67" s="28"/>
      <c r="X67" s="19"/>
      <c r="Y67" s="19"/>
      <c r="Z67" s="5"/>
      <c r="AA67" s="19"/>
      <c r="AB67" s="5"/>
      <c r="AC67" s="5"/>
      <c r="AD67" s="5"/>
      <c r="AE67" s="5"/>
      <c r="AF67" s="30"/>
      <c r="AG67" s="30"/>
      <c r="AH67" s="30"/>
      <c r="AI67" s="30"/>
      <c r="AJ67" s="30"/>
      <c r="AK67" s="30"/>
      <c r="AL67" s="28"/>
      <c r="AM67" s="5"/>
      <c r="AN67" s="19"/>
      <c r="AO67" s="19"/>
      <c r="AP67" s="5"/>
      <c r="AQ67" s="5"/>
      <c r="AR67" s="5"/>
      <c r="AS67" s="5"/>
      <c r="AT67" s="5"/>
      <c r="AU67" s="19"/>
      <c r="AV67" s="19"/>
      <c r="AW67" s="5"/>
      <c r="AX67" s="5"/>
      <c r="AY67" s="19"/>
      <c r="AZ67" s="30"/>
      <c r="BA67" s="5"/>
      <c r="BB67" s="31" t="str">
        <f aca="false">IF(OR($T67="",$M67=""),"",$T67-$M67)</f>
        <v/>
      </c>
      <c r="BC67" s="32" t="str">
        <f aca="false">IF(OR($T67="",$M67="",$M67=0),"",($T67-$M67)/$M67)</f>
        <v/>
      </c>
      <c r="BD67" s="31" t="str">
        <f aca="false">IF(OR($U67="",$M67=""),"",$U67-$M67)</f>
        <v/>
      </c>
      <c r="BE67" s="32" t="str">
        <f aca="false">IF(OR($U67="",$M67="",$M67=0),"",($U67-$M67)/$M67)</f>
        <v/>
      </c>
      <c r="BF67" s="32" t="str">
        <f aca="false">IF(OR($U67="",$J67="",$J67=0),"",($U67-$J67)/$J67)</f>
        <v/>
      </c>
      <c r="BG67" s="32" t="str">
        <f aca="false">IF(OR($M67="",$K67="",$K67=0),"",($M67-$K67)/$K67)</f>
        <v/>
      </c>
      <c r="BH67" s="32" t="str">
        <f aca="false">IF(OR($W67="",$N67="",$N67=0),"",($W67-$N67)/$N67)</f>
        <v/>
      </c>
      <c r="BI67" s="33" t="str">
        <f aca="false">IF(OR($O67="",$X67=""),"",$O67-$X67)</f>
        <v/>
      </c>
      <c r="BJ67" s="33" t="str">
        <f aca="false">IF(OR($P67="",$Y67=""),"",$P67-$Y67)</f>
        <v/>
      </c>
      <c r="BK67" s="34" t="str">
        <f aca="false">IF(OR($AN67="",$AO67="",$AN67=0),"",$AO67/$AN67)</f>
        <v/>
      </c>
      <c r="BL67" s="34" t="str">
        <f aca="false">IF(OR($AU67="",$AV67="",$AU67=0),"",$AV67/$AU67)</f>
        <v/>
      </c>
      <c r="BM67" s="7" t="str">
        <f aca="false">IF($Z67="","",IF(AND($Z67="Y",$AB67&lt;&gt;"N",$AC67&lt;&gt;"Y"),"Y","N"))</f>
        <v/>
      </c>
      <c r="BN67" s="7" t="str">
        <f aca="false">IF($AH67="","",IF($Z67&lt;&gt;"Y","undefined",IF($AH67&lt;=1,"Y","N")))</f>
        <v/>
      </c>
      <c r="BO67" s="7" t="str">
        <f aca="false">IF($AH67="","",IF($Z67&lt;&gt;"Y","undefined",IF($AH67&lt;=10,"Y","N")))</f>
        <v/>
      </c>
      <c r="BP67" s="7" t="str">
        <f aca="false">IF($AH67="","",IF($Z67&lt;&gt;"Y","undefined",IF($AH67&lt;=100,"Y","N")))</f>
        <v/>
      </c>
    </row>
    <row r="68" customFormat="false" ht="15" hidden="false" customHeight="false" outlineLevel="0" collapsed="false">
      <c r="A68" s="7" t="str">
        <f aca="false">IF($B68="","",$B68&amp;"|"&amp;$C68&amp;"|"&amp;$F68)</f>
        <v/>
      </c>
      <c r="B68" s="5"/>
      <c r="C68" s="5"/>
      <c r="D68" s="5"/>
      <c r="E68" s="5"/>
      <c r="F68" s="5"/>
      <c r="G68" s="5"/>
      <c r="H68" s="5"/>
      <c r="I68" s="5"/>
      <c r="J68" s="20"/>
      <c r="K68" s="20"/>
      <c r="L68" s="28"/>
      <c r="M68" s="20"/>
      <c r="N68" s="28"/>
      <c r="O68" s="19"/>
      <c r="P68" s="19"/>
      <c r="Q68" s="5"/>
      <c r="R68" s="19"/>
      <c r="S68" s="5"/>
      <c r="T68" s="20"/>
      <c r="U68" s="20"/>
      <c r="V68" s="29"/>
      <c r="W68" s="28"/>
      <c r="X68" s="19"/>
      <c r="Y68" s="19"/>
      <c r="Z68" s="5"/>
      <c r="AA68" s="19"/>
      <c r="AB68" s="5"/>
      <c r="AC68" s="5"/>
      <c r="AD68" s="5"/>
      <c r="AE68" s="5"/>
      <c r="AF68" s="30"/>
      <c r="AG68" s="30"/>
      <c r="AH68" s="30"/>
      <c r="AI68" s="30"/>
      <c r="AJ68" s="30"/>
      <c r="AK68" s="30"/>
      <c r="AL68" s="28"/>
      <c r="AM68" s="5"/>
      <c r="AN68" s="19"/>
      <c r="AO68" s="19"/>
      <c r="AP68" s="5"/>
      <c r="AQ68" s="5"/>
      <c r="AR68" s="5"/>
      <c r="AS68" s="5"/>
      <c r="AT68" s="5"/>
      <c r="AU68" s="19"/>
      <c r="AV68" s="19"/>
      <c r="AW68" s="5"/>
      <c r="AX68" s="5"/>
      <c r="AY68" s="19"/>
      <c r="AZ68" s="30"/>
      <c r="BA68" s="5"/>
      <c r="BB68" s="31" t="str">
        <f aca="false">IF(OR($T68="",$M68=""),"",$T68-$M68)</f>
        <v/>
      </c>
      <c r="BC68" s="32" t="str">
        <f aca="false">IF(OR($T68="",$M68="",$M68=0),"",($T68-$M68)/$M68)</f>
        <v/>
      </c>
      <c r="BD68" s="31" t="str">
        <f aca="false">IF(OR($U68="",$M68=""),"",$U68-$M68)</f>
        <v/>
      </c>
      <c r="BE68" s="32" t="str">
        <f aca="false">IF(OR($U68="",$M68="",$M68=0),"",($U68-$M68)/$M68)</f>
        <v/>
      </c>
      <c r="BF68" s="32" t="str">
        <f aca="false">IF(OR($U68="",$J68="",$J68=0),"",($U68-$J68)/$J68)</f>
        <v/>
      </c>
      <c r="BG68" s="32" t="str">
        <f aca="false">IF(OR($M68="",$K68="",$K68=0),"",($M68-$K68)/$K68)</f>
        <v/>
      </c>
      <c r="BH68" s="32" t="str">
        <f aca="false">IF(OR($W68="",$N68="",$N68=0),"",($W68-$N68)/$N68)</f>
        <v/>
      </c>
      <c r="BI68" s="33" t="str">
        <f aca="false">IF(OR($O68="",$X68=""),"",$O68-$X68)</f>
        <v/>
      </c>
      <c r="BJ68" s="33" t="str">
        <f aca="false">IF(OR($P68="",$Y68=""),"",$P68-$Y68)</f>
        <v/>
      </c>
      <c r="BK68" s="34" t="str">
        <f aca="false">IF(OR($AN68="",$AO68="",$AN68=0),"",$AO68/$AN68)</f>
        <v/>
      </c>
      <c r="BL68" s="34" t="str">
        <f aca="false">IF(OR($AU68="",$AV68="",$AU68=0),"",$AV68/$AU68)</f>
        <v/>
      </c>
      <c r="BM68" s="7" t="str">
        <f aca="false">IF($Z68="","",IF(AND($Z68="Y",$AB68&lt;&gt;"N",$AC68&lt;&gt;"Y"),"Y","N"))</f>
        <v/>
      </c>
      <c r="BN68" s="7" t="str">
        <f aca="false">IF($AH68="","",IF($Z68&lt;&gt;"Y","undefined",IF($AH68&lt;=1,"Y","N")))</f>
        <v/>
      </c>
      <c r="BO68" s="7" t="str">
        <f aca="false">IF($AH68="","",IF($Z68&lt;&gt;"Y","undefined",IF($AH68&lt;=10,"Y","N")))</f>
        <v/>
      </c>
      <c r="BP68" s="7" t="str">
        <f aca="false">IF($AH68="","",IF($Z68&lt;&gt;"Y","undefined",IF($AH68&lt;=100,"Y","N")))</f>
        <v/>
      </c>
    </row>
    <row r="69" customFormat="false" ht="15" hidden="false" customHeight="false" outlineLevel="0" collapsed="false">
      <c r="A69" s="7" t="str">
        <f aca="false">IF($B69="","",$B69&amp;"|"&amp;$C69&amp;"|"&amp;$F69)</f>
        <v/>
      </c>
      <c r="B69" s="5"/>
      <c r="C69" s="5"/>
      <c r="D69" s="5"/>
      <c r="E69" s="5"/>
      <c r="F69" s="5"/>
      <c r="G69" s="5"/>
      <c r="H69" s="5"/>
      <c r="I69" s="5"/>
      <c r="J69" s="20"/>
      <c r="K69" s="20"/>
      <c r="L69" s="28"/>
      <c r="M69" s="20"/>
      <c r="N69" s="28"/>
      <c r="O69" s="19"/>
      <c r="P69" s="19"/>
      <c r="Q69" s="5"/>
      <c r="R69" s="19"/>
      <c r="S69" s="5"/>
      <c r="T69" s="20"/>
      <c r="U69" s="20"/>
      <c r="V69" s="29"/>
      <c r="W69" s="28"/>
      <c r="X69" s="19"/>
      <c r="Y69" s="19"/>
      <c r="Z69" s="5"/>
      <c r="AA69" s="19"/>
      <c r="AB69" s="5"/>
      <c r="AC69" s="5"/>
      <c r="AD69" s="5"/>
      <c r="AE69" s="5"/>
      <c r="AF69" s="30"/>
      <c r="AG69" s="30"/>
      <c r="AH69" s="30"/>
      <c r="AI69" s="30"/>
      <c r="AJ69" s="30"/>
      <c r="AK69" s="30"/>
      <c r="AL69" s="28"/>
      <c r="AM69" s="5"/>
      <c r="AN69" s="19"/>
      <c r="AO69" s="19"/>
      <c r="AP69" s="5"/>
      <c r="AQ69" s="5"/>
      <c r="AR69" s="5"/>
      <c r="AS69" s="5"/>
      <c r="AT69" s="5"/>
      <c r="AU69" s="19"/>
      <c r="AV69" s="19"/>
      <c r="AW69" s="5"/>
      <c r="AX69" s="5"/>
      <c r="AY69" s="19"/>
      <c r="AZ69" s="30"/>
      <c r="BA69" s="5"/>
      <c r="BB69" s="31" t="str">
        <f aca="false">IF(OR($T69="",$M69=""),"",$T69-$M69)</f>
        <v/>
      </c>
      <c r="BC69" s="32" t="str">
        <f aca="false">IF(OR($T69="",$M69="",$M69=0),"",($T69-$M69)/$M69)</f>
        <v/>
      </c>
      <c r="BD69" s="31" t="str">
        <f aca="false">IF(OR($U69="",$M69=""),"",$U69-$M69)</f>
        <v/>
      </c>
      <c r="BE69" s="32" t="str">
        <f aca="false">IF(OR($U69="",$M69="",$M69=0),"",($U69-$M69)/$M69)</f>
        <v/>
      </c>
      <c r="BF69" s="32" t="str">
        <f aca="false">IF(OR($U69="",$J69="",$J69=0),"",($U69-$J69)/$J69)</f>
        <v/>
      </c>
      <c r="BG69" s="32" t="str">
        <f aca="false">IF(OR($M69="",$K69="",$K69=0),"",($M69-$K69)/$K69)</f>
        <v/>
      </c>
      <c r="BH69" s="32" t="str">
        <f aca="false">IF(OR($W69="",$N69="",$N69=0),"",($W69-$N69)/$N69)</f>
        <v/>
      </c>
      <c r="BI69" s="33" t="str">
        <f aca="false">IF(OR($O69="",$X69=""),"",$O69-$X69)</f>
        <v/>
      </c>
      <c r="BJ69" s="33" t="str">
        <f aca="false">IF(OR($P69="",$Y69=""),"",$P69-$Y69)</f>
        <v/>
      </c>
      <c r="BK69" s="34" t="str">
        <f aca="false">IF(OR($AN69="",$AO69="",$AN69=0),"",$AO69/$AN69)</f>
        <v/>
      </c>
      <c r="BL69" s="34" t="str">
        <f aca="false">IF(OR($AU69="",$AV69="",$AU69=0),"",$AV69/$AU69)</f>
        <v/>
      </c>
      <c r="BM69" s="7" t="str">
        <f aca="false">IF($Z69="","",IF(AND($Z69="Y",$AB69&lt;&gt;"N",$AC69&lt;&gt;"Y"),"Y","N"))</f>
        <v/>
      </c>
      <c r="BN69" s="7" t="str">
        <f aca="false">IF($AH69="","",IF($Z69&lt;&gt;"Y","undefined",IF($AH69&lt;=1,"Y","N")))</f>
        <v/>
      </c>
      <c r="BO69" s="7" t="str">
        <f aca="false">IF($AH69="","",IF($Z69&lt;&gt;"Y","undefined",IF($AH69&lt;=10,"Y","N")))</f>
        <v/>
      </c>
      <c r="BP69" s="7" t="str">
        <f aca="false">IF($AH69="","",IF($Z69&lt;&gt;"Y","undefined",IF($AH69&lt;=100,"Y","N")))</f>
        <v/>
      </c>
    </row>
    <row r="70" customFormat="false" ht="15" hidden="false" customHeight="false" outlineLevel="0" collapsed="false">
      <c r="A70" s="7" t="str">
        <f aca="false">IF($B70="","",$B70&amp;"|"&amp;$C70&amp;"|"&amp;$F70)</f>
        <v/>
      </c>
      <c r="B70" s="5"/>
      <c r="C70" s="5"/>
      <c r="D70" s="5"/>
      <c r="E70" s="5"/>
      <c r="F70" s="5"/>
      <c r="G70" s="5"/>
      <c r="H70" s="5"/>
      <c r="I70" s="5"/>
      <c r="J70" s="20"/>
      <c r="K70" s="20"/>
      <c r="L70" s="28"/>
      <c r="M70" s="20"/>
      <c r="N70" s="28"/>
      <c r="O70" s="19"/>
      <c r="P70" s="19"/>
      <c r="Q70" s="5"/>
      <c r="R70" s="19"/>
      <c r="S70" s="5"/>
      <c r="T70" s="20"/>
      <c r="U70" s="20"/>
      <c r="V70" s="29"/>
      <c r="W70" s="28"/>
      <c r="X70" s="19"/>
      <c r="Y70" s="19"/>
      <c r="Z70" s="5"/>
      <c r="AA70" s="19"/>
      <c r="AB70" s="5"/>
      <c r="AC70" s="5"/>
      <c r="AD70" s="5"/>
      <c r="AE70" s="5"/>
      <c r="AF70" s="30"/>
      <c r="AG70" s="30"/>
      <c r="AH70" s="30"/>
      <c r="AI70" s="30"/>
      <c r="AJ70" s="30"/>
      <c r="AK70" s="30"/>
      <c r="AL70" s="28"/>
      <c r="AM70" s="5"/>
      <c r="AN70" s="19"/>
      <c r="AO70" s="19"/>
      <c r="AP70" s="5"/>
      <c r="AQ70" s="5"/>
      <c r="AR70" s="5"/>
      <c r="AS70" s="5"/>
      <c r="AT70" s="5"/>
      <c r="AU70" s="19"/>
      <c r="AV70" s="19"/>
      <c r="AW70" s="5"/>
      <c r="AX70" s="5"/>
      <c r="AY70" s="19"/>
      <c r="AZ70" s="30"/>
      <c r="BA70" s="5"/>
      <c r="BB70" s="31" t="str">
        <f aca="false">IF(OR($T70="",$M70=""),"",$T70-$M70)</f>
        <v/>
      </c>
      <c r="BC70" s="32" t="str">
        <f aca="false">IF(OR($T70="",$M70="",$M70=0),"",($T70-$M70)/$M70)</f>
        <v/>
      </c>
      <c r="BD70" s="31" t="str">
        <f aca="false">IF(OR($U70="",$M70=""),"",$U70-$M70)</f>
        <v/>
      </c>
      <c r="BE70" s="32" t="str">
        <f aca="false">IF(OR($U70="",$M70="",$M70=0),"",($U70-$M70)/$M70)</f>
        <v/>
      </c>
      <c r="BF70" s="32" t="str">
        <f aca="false">IF(OR($U70="",$J70="",$J70=0),"",($U70-$J70)/$J70)</f>
        <v/>
      </c>
      <c r="BG70" s="32" t="str">
        <f aca="false">IF(OR($M70="",$K70="",$K70=0),"",($M70-$K70)/$K70)</f>
        <v/>
      </c>
      <c r="BH70" s="32" t="str">
        <f aca="false">IF(OR($W70="",$N70="",$N70=0),"",($W70-$N70)/$N70)</f>
        <v/>
      </c>
      <c r="BI70" s="33" t="str">
        <f aca="false">IF(OR($O70="",$X70=""),"",$O70-$X70)</f>
        <v/>
      </c>
      <c r="BJ70" s="33" t="str">
        <f aca="false">IF(OR($P70="",$Y70=""),"",$P70-$Y70)</f>
        <v/>
      </c>
      <c r="BK70" s="34" t="str">
        <f aca="false">IF(OR($AN70="",$AO70="",$AN70=0),"",$AO70/$AN70)</f>
        <v/>
      </c>
      <c r="BL70" s="34" t="str">
        <f aca="false">IF(OR($AU70="",$AV70="",$AU70=0),"",$AV70/$AU70)</f>
        <v/>
      </c>
      <c r="BM70" s="7" t="str">
        <f aca="false">IF($Z70="","",IF(AND($Z70="Y",$AB70&lt;&gt;"N",$AC70&lt;&gt;"Y"),"Y","N"))</f>
        <v/>
      </c>
      <c r="BN70" s="7" t="str">
        <f aca="false">IF($AH70="","",IF($Z70&lt;&gt;"Y","undefined",IF($AH70&lt;=1,"Y","N")))</f>
        <v/>
      </c>
      <c r="BO70" s="7" t="str">
        <f aca="false">IF($AH70="","",IF($Z70&lt;&gt;"Y","undefined",IF($AH70&lt;=10,"Y","N")))</f>
        <v/>
      </c>
      <c r="BP70" s="7" t="str">
        <f aca="false">IF($AH70="","",IF($Z70&lt;&gt;"Y","undefined",IF($AH70&lt;=100,"Y","N")))</f>
        <v/>
      </c>
    </row>
    <row r="71" customFormat="false" ht="15" hidden="false" customHeight="false" outlineLevel="0" collapsed="false">
      <c r="A71" s="7" t="str">
        <f aca="false">IF($B71="","",$B71&amp;"|"&amp;$C71&amp;"|"&amp;$F71)</f>
        <v/>
      </c>
      <c r="B71" s="5"/>
      <c r="C71" s="5"/>
      <c r="D71" s="5"/>
      <c r="E71" s="5"/>
      <c r="F71" s="5"/>
      <c r="G71" s="5"/>
      <c r="H71" s="5"/>
      <c r="I71" s="5"/>
      <c r="J71" s="20"/>
      <c r="K71" s="20"/>
      <c r="L71" s="28"/>
      <c r="M71" s="20"/>
      <c r="N71" s="28"/>
      <c r="O71" s="19"/>
      <c r="P71" s="19"/>
      <c r="Q71" s="5"/>
      <c r="R71" s="19"/>
      <c r="S71" s="5"/>
      <c r="T71" s="20"/>
      <c r="U71" s="20"/>
      <c r="V71" s="29"/>
      <c r="W71" s="28"/>
      <c r="X71" s="19"/>
      <c r="Y71" s="19"/>
      <c r="Z71" s="5"/>
      <c r="AA71" s="19"/>
      <c r="AB71" s="5"/>
      <c r="AC71" s="5"/>
      <c r="AD71" s="5"/>
      <c r="AE71" s="5"/>
      <c r="AF71" s="30"/>
      <c r="AG71" s="30"/>
      <c r="AH71" s="30"/>
      <c r="AI71" s="30"/>
      <c r="AJ71" s="30"/>
      <c r="AK71" s="30"/>
      <c r="AL71" s="28"/>
      <c r="AM71" s="5"/>
      <c r="AN71" s="19"/>
      <c r="AO71" s="19"/>
      <c r="AP71" s="5"/>
      <c r="AQ71" s="5"/>
      <c r="AR71" s="5"/>
      <c r="AS71" s="5"/>
      <c r="AT71" s="5"/>
      <c r="AU71" s="19"/>
      <c r="AV71" s="19"/>
      <c r="AW71" s="5"/>
      <c r="AX71" s="5"/>
      <c r="AY71" s="19"/>
      <c r="AZ71" s="30"/>
      <c r="BA71" s="5"/>
      <c r="BB71" s="31" t="str">
        <f aca="false">IF(OR($T71="",$M71=""),"",$T71-$M71)</f>
        <v/>
      </c>
      <c r="BC71" s="32" t="str">
        <f aca="false">IF(OR($T71="",$M71="",$M71=0),"",($T71-$M71)/$M71)</f>
        <v/>
      </c>
      <c r="BD71" s="31" t="str">
        <f aca="false">IF(OR($U71="",$M71=""),"",$U71-$M71)</f>
        <v/>
      </c>
      <c r="BE71" s="32" t="str">
        <f aca="false">IF(OR($U71="",$M71="",$M71=0),"",($U71-$M71)/$M71)</f>
        <v/>
      </c>
      <c r="BF71" s="32" t="str">
        <f aca="false">IF(OR($U71="",$J71="",$J71=0),"",($U71-$J71)/$J71)</f>
        <v/>
      </c>
      <c r="BG71" s="32" t="str">
        <f aca="false">IF(OR($M71="",$K71="",$K71=0),"",($M71-$K71)/$K71)</f>
        <v/>
      </c>
      <c r="BH71" s="32" t="str">
        <f aca="false">IF(OR($W71="",$N71="",$N71=0),"",($W71-$N71)/$N71)</f>
        <v/>
      </c>
      <c r="BI71" s="33" t="str">
        <f aca="false">IF(OR($O71="",$X71=""),"",$O71-$X71)</f>
        <v/>
      </c>
      <c r="BJ71" s="33" t="str">
        <f aca="false">IF(OR($P71="",$Y71=""),"",$P71-$Y71)</f>
        <v/>
      </c>
      <c r="BK71" s="34" t="str">
        <f aca="false">IF(OR($AN71="",$AO71="",$AN71=0),"",$AO71/$AN71)</f>
        <v/>
      </c>
      <c r="BL71" s="34" t="str">
        <f aca="false">IF(OR($AU71="",$AV71="",$AU71=0),"",$AV71/$AU71)</f>
        <v/>
      </c>
      <c r="BM71" s="7" t="str">
        <f aca="false">IF($Z71="","",IF(AND($Z71="Y",$AB71&lt;&gt;"N",$AC71&lt;&gt;"Y"),"Y","N"))</f>
        <v/>
      </c>
      <c r="BN71" s="7" t="str">
        <f aca="false">IF($AH71="","",IF($Z71&lt;&gt;"Y","undefined",IF($AH71&lt;=1,"Y","N")))</f>
        <v/>
      </c>
      <c r="BO71" s="7" t="str">
        <f aca="false">IF($AH71="","",IF($Z71&lt;&gt;"Y","undefined",IF($AH71&lt;=10,"Y","N")))</f>
        <v/>
      </c>
      <c r="BP71" s="7" t="str">
        <f aca="false">IF($AH71="","",IF($Z71&lt;&gt;"Y","undefined",IF($AH71&lt;=100,"Y","N")))</f>
        <v/>
      </c>
    </row>
    <row r="72" customFormat="false" ht="15" hidden="false" customHeight="false" outlineLevel="0" collapsed="false">
      <c r="A72" s="7" t="str">
        <f aca="false">IF($B72="","",$B72&amp;"|"&amp;$C72&amp;"|"&amp;$F72)</f>
        <v/>
      </c>
      <c r="B72" s="5"/>
      <c r="C72" s="5"/>
      <c r="D72" s="5"/>
      <c r="E72" s="5"/>
      <c r="F72" s="5"/>
      <c r="G72" s="5"/>
      <c r="H72" s="5"/>
      <c r="I72" s="5"/>
      <c r="J72" s="20"/>
      <c r="K72" s="20"/>
      <c r="L72" s="28"/>
      <c r="M72" s="20"/>
      <c r="N72" s="28"/>
      <c r="O72" s="19"/>
      <c r="P72" s="19"/>
      <c r="Q72" s="5"/>
      <c r="R72" s="19"/>
      <c r="S72" s="5"/>
      <c r="T72" s="20"/>
      <c r="U72" s="20"/>
      <c r="V72" s="29"/>
      <c r="W72" s="28"/>
      <c r="X72" s="19"/>
      <c r="Y72" s="19"/>
      <c r="Z72" s="5"/>
      <c r="AA72" s="19"/>
      <c r="AB72" s="5"/>
      <c r="AC72" s="5"/>
      <c r="AD72" s="5"/>
      <c r="AE72" s="5"/>
      <c r="AF72" s="30"/>
      <c r="AG72" s="30"/>
      <c r="AH72" s="30"/>
      <c r="AI72" s="30"/>
      <c r="AJ72" s="30"/>
      <c r="AK72" s="30"/>
      <c r="AL72" s="28"/>
      <c r="AM72" s="5"/>
      <c r="AN72" s="19"/>
      <c r="AO72" s="19"/>
      <c r="AP72" s="5"/>
      <c r="AQ72" s="5"/>
      <c r="AR72" s="5"/>
      <c r="AS72" s="5"/>
      <c r="AT72" s="5"/>
      <c r="AU72" s="19"/>
      <c r="AV72" s="19"/>
      <c r="AW72" s="5"/>
      <c r="AX72" s="5"/>
      <c r="AY72" s="19"/>
      <c r="AZ72" s="30"/>
      <c r="BA72" s="5"/>
      <c r="BB72" s="31" t="str">
        <f aca="false">IF(OR($T72="",$M72=""),"",$T72-$M72)</f>
        <v/>
      </c>
      <c r="BC72" s="32" t="str">
        <f aca="false">IF(OR($T72="",$M72="",$M72=0),"",($T72-$M72)/$M72)</f>
        <v/>
      </c>
      <c r="BD72" s="31" t="str">
        <f aca="false">IF(OR($U72="",$M72=""),"",$U72-$M72)</f>
        <v/>
      </c>
      <c r="BE72" s="32" t="str">
        <f aca="false">IF(OR($U72="",$M72="",$M72=0),"",($U72-$M72)/$M72)</f>
        <v/>
      </c>
      <c r="BF72" s="32" t="str">
        <f aca="false">IF(OR($U72="",$J72="",$J72=0),"",($U72-$J72)/$J72)</f>
        <v/>
      </c>
      <c r="BG72" s="32" t="str">
        <f aca="false">IF(OR($M72="",$K72="",$K72=0),"",($M72-$K72)/$K72)</f>
        <v/>
      </c>
      <c r="BH72" s="32" t="str">
        <f aca="false">IF(OR($W72="",$N72="",$N72=0),"",($W72-$N72)/$N72)</f>
        <v/>
      </c>
      <c r="BI72" s="33" t="str">
        <f aca="false">IF(OR($O72="",$X72=""),"",$O72-$X72)</f>
        <v/>
      </c>
      <c r="BJ72" s="33" t="str">
        <f aca="false">IF(OR($P72="",$Y72=""),"",$P72-$Y72)</f>
        <v/>
      </c>
      <c r="BK72" s="34" t="str">
        <f aca="false">IF(OR($AN72="",$AO72="",$AN72=0),"",$AO72/$AN72)</f>
        <v/>
      </c>
      <c r="BL72" s="34" t="str">
        <f aca="false">IF(OR($AU72="",$AV72="",$AU72=0),"",$AV72/$AU72)</f>
        <v/>
      </c>
      <c r="BM72" s="7" t="str">
        <f aca="false">IF($Z72="","",IF(AND($Z72="Y",$AB72&lt;&gt;"N",$AC72&lt;&gt;"Y"),"Y","N"))</f>
        <v/>
      </c>
      <c r="BN72" s="7" t="str">
        <f aca="false">IF($AH72="","",IF($Z72&lt;&gt;"Y","undefined",IF($AH72&lt;=1,"Y","N")))</f>
        <v/>
      </c>
      <c r="BO72" s="7" t="str">
        <f aca="false">IF($AH72="","",IF($Z72&lt;&gt;"Y","undefined",IF($AH72&lt;=10,"Y","N")))</f>
        <v/>
      </c>
      <c r="BP72" s="7" t="str">
        <f aca="false">IF($AH72="","",IF($Z72&lt;&gt;"Y","undefined",IF($AH72&lt;=100,"Y","N")))</f>
        <v/>
      </c>
    </row>
    <row r="73" customFormat="false" ht="15" hidden="false" customHeight="false" outlineLevel="0" collapsed="false">
      <c r="A73" s="7" t="str">
        <f aca="false">IF($B73="","",$B73&amp;"|"&amp;$C73&amp;"|"&amp;$F73)</f>
        <v/>
      </c>
      <c r="B73" s="5"/>
      <c r="C73" s="5"/>
      <c r="D73" s="5"/>
      <c r="E73" s="5"/>
      <c r="F73" s="5"/>
      <c r="G73" s="5"/>
      <c r="H73" s="5"/>
      <c r="I73" s="5"/>
      <c r="J73" s="20"/>
      <c r="K73" s="20"/>
      <c r="L73" s="28"/>
      <c r="M73" s="20"/>
      <c r="N73" s="28"/>
      <c r="O73" s="19"/>
      <c r="P73" s="19"/>
      <c r="Q73" s="5"/>
      <c r="R73" s="19"/>
      <c r="S73" s="5"/>
      <c r="T73" s="20"/>
      <c r="U73" s="20"/>
      <c r="V73" s="29"/>
      <c r="W73" s="28"/>
      <c r="X73" s="19"/>
      <c r="Y73" s="19"/>
      <c r="Z73" s="5"/>
      <c r="AA73" s="19"/>
      <c r="AB73" s="5"/>
      <c r="AC73" s="5"/>
      <c r="AD73" s="5"/>
      <c r="AE73" s="5"/>
      <c r="AF73" s="30"/>
      <c r="AG73" s="30"/>
      <c r="AH73" s="30"/>
      <c r="AI73" s="30"/>
      <c r="AJ73" s="30"/>
      <c r="AK73" s="30"/>
      <c r="AL73" s="28"/>
      <c r="AM73" s="5"/>
      <c r="AN73" s="19"/>
      <c r="AO73" s="19"/>
      <c r="AP73" s="5"/>
      <c r="AQ73" s="5"/>
      <c r="AR73" s="5"/>
      <c r="AS73" s="5"/>
      <c r="AT73" s="5"/>
      <c r="AU73" s="19"/>
      <c r="AV73" s="19"/>
      <c r="AW73" s="5"/>
      <c r="AX73" s="5"/>
      <c r="AY73" s="19"/>
      <c r="AZ73" s="30"/>
      <c r="BA73" s="5"/>
      <c r="BB73" s="31" t="str">
        <f aca="false">IF(OR($T73="",$M73=""),"",$T73-$M73)</f>
        <v/>
      </c>
      <c r="BC73" s="32" t="str">
        <f aca="false">IF(OR($T73="",$M73="",$M73=0),"",($T73-$M73)/$M73)</f>
        <v/>
      </c>
      <c r="BD73" s="31" t="str">
        <f aca="false">IF(OR($U73="",$M73=""),"",$U73-$M73)</f>
        <v/>
      </c>
      <c r="BE73" s="32" t="str">
        <f aca="false">IF(OR($U73="",$M73="",$M73=0),"",($U73-$M73)/$M73)</f>
        <v/>
      </c>
      <c r="BF73" s="32" t="str">
        <f aca="false">IF(OR($U73="",$J73="",$J73=0),"",($U73-$J73)/$J73)</f>
        <v/>
      </c>
      <c r="BG73" s="32" t="str">
        <f aca="false">IF(OR($M73="",$K73="",$K73=0),"",($M73-$K73)/$K73)</f>
        <v/>
      </c>
      <c r="BH73" s="32" t="str">
        <f aca="false">IF(OR($W73="",$N73="",$N73=0),"",($W73-$N73)/$N73)</f>
        <v/>
      </c>
      <c r="BI73" s="33" t="str">
        <f aca="false">IF(OR($O73="",$X73=""),"",$O73-$X73)</f>
        <v/>
      </c>
      <c r="BJ73" s="33" t="str">
        <f aca="false">IF(OR($P73="",$Y73=""),"",$P73-$Y73)</f>
        <v/>
      </c>
      <c r="BK73" s="34" t="str">
        <f aca="false">IF(OR($AN73="",$AO73="",$AN73=0),"",$AO73/$AN73)</f>
        <v/>
      </c>
      <c r="BL73" s="34" t="str">
        <f aca="false">IF(OR($AU73="",$AV73="",$AU73=0),"",$AV73/$AU73)</f>
        <v/>
      </c>
      <c r="BM73" s="7" t="str">
        <f aca="false">IF($Z73="","",IF(AND($Z73="Y",$AB73&lt;&gt;"N",$AC73&lt;&gt;"Y"),"Y","N"))</f>
        <v/>
      </c>
      <c r="BN73" s="7" t="str">
        <f aca="false">IF($AH73="","",IF($Z73&lt;&gt;"Y","undefined",IF($AH73&lt;=1,"Y","N")))</f>
        <v/>
      </c>
      <c r="BO73" s="7" t="str">
        <f aca="false">IF($AH73="","",IF($Z73&lt;&gt;"Y","undefined",IF($AH73&lt;=10,"Y","N")))</f>
        <v/>
      </c>
      <c r="BP73" s="7" t="str">
        <f aca="false">IF($AH73="","",IF($Z73&lt;&gt;"Y","undefined",IF($AH73&lt;=100,"Y","N")))</f>
        <v/>
      </c>
    </row>
    <row r="74" customFormat="false" ht="15" hidden="false" customHeight="false" outlineLevel="0" collapsed="false">
      <c r="A74" s="7" t="str">
        <f aca="false">IF($B74="","",$B74&amp;"|"&amp;$C74&amp;"|"&amp;$F74)</f>
        <v/>
      </c>
      <c r="B74" s="5"/>
      <c r="C74" s="5"/>
      <c r="D74" s="5"/>
      <c r="E74" s="5"/>
      <c r="F74" s="5"/>
      <c r="G74" s="5"/>
      <c r="H74" s="5"/>
      <c r="I74" s="5"/>
      <c r="J74" s="20"/>
      <c r="K74" s="20"/>
      <c r="L74" s="28"/>
      <c r="M74" s="20"/>
      <c r="N74" s="28"/>
      <c r="O74" s="19"/>
      <c r="P74" s="19"/>
      <c r="Q74" s="5"/>
      <c r="R74" s="19"/>
      <c r="S74" s="5"/>
      <c r="T74" s="20"/>
      <c r="U74" s="20"/>
      <c r="V74" s="29"/>
      <c r="W74" s="28"/>
      <c r="X74" s="19"/>
      <c r="Y74" s="19"/>
      <c r="Z74" s="5"/>
      <c r="AA74" s="19"/>
      <c r="AB74" s="5"/>
      <c r="AC74" s="5"/>
      <c r="AD74" s="5"/>
      <c r="AE74" s="5"/>
      <c r="AF74" s="30"/>
      <c r="AG74" s="30"/>
      <c r="AH74" s="30"/>
      <c r="AI74" s="30"/>
      <c r="AJ74" s="30"/>
      <c r="AK74" s="30"/>
      <c r="AL74" s="28"/>
      <c r="AM74" s="5"/>
      <c r="AN74" s="19"/>
      <c r="AO74" s="19"/>
      <c r="AP74" s="5"/>
      <c r="AQ74" s="5"/>
      <c r="AR74" s="5"/>
      <c r="AS74" s="5"/>
      <c r="AT74" s="5"/>
      <c r="AU74" s="19"/>
      <c r="AV74" s="19"/>
      <c r="AW74" s="5"/>
      <c r="AX74" s="5"/>
      <c r="AY74" s="19"/>
      <c r="AZ74" s="30"/>
      <c r="BA74" s="5"/>
      <c r="BB74" s="31" t="str">
        <f aca="false">IF(OR($T74="",$M74=""),"",$T74-$M74)</f>
        <v/>
      </c>
      <c r="BC74" s="32" t="str">
        <f aca="false">IF(OR($T74="",$M74="",$M74=0),"",($T74-$M74)/$M74)</f>
        <v/>
      </c>
      <c r="BD74" s="31" t="str">
        <f aca="false">IF(OR($U74="",$M74=""),"",$U74-$M74)</f>
        <v/>
      </c>
      <c r="BE74" s="32" t="str">
        <f aca="false">IF(OR($U74="",$M74="",$M74=0),"",($U74-$M74)/$M74)</f>
        <v/>
      </c>
      <c r="BF74" s="32" t="str">
        <f aca="false">IF(OR($U74="",$J74="",$J74=0),"",($U74-$J74)/$J74)</f>
        <v/>
      </c>
      <c r="BG74" s="32" t="str">
        <f aca="false">IF(OR($M74="",$K74="",$K74=0),"",($M74-$K74)/$K74)</f>
        <v/>
      </c>
      <c r="BH74" s="32" t="str">
        <f aca="false">IF(OR($W74="",$N74="",$N74=0),"",($W74-$N74)/$N74)</f>
        <v/>
      </c>
      <c r="BI74" s="33" t="str">
        <f aca="false">IF(OR($O74="",$X74=""),"",$O74-$X74)</f>
        <v/>
      </c>
      <c r="BJ74" s="33" t="str">
        <f aca="false">IF(OR($P74="",$Y74=""),"",$P74-$Y74)</f>
        <v/>
      </c>
      <c r="BK74" s="34" t="str">
        <f aca="false">IF(OR($AN74="",$AO74="",$AN74=0),"",$AO74/$AN74)</f>
        <v/>
      </c>
      <c r="BL74" s="34" t="str">
        <f aca="false">IF(OR($AU74="",$AV74="",$AU74=0),"",$AV74/$AU74)</f>
        <v/>
      </c>
      <c r="BM74" s="7" t="str">
        <f aca="false">IF($Z74="","",IF(AND($Z74="Y",$AB74&lt;&gt;"N",$AC74&lt;&gt;"Y"),"Y","N"))</f>
        <v/>
      </c>
      <c r="BN74" s="7" t="str">
        <f aca="false">IF($AH74="","",IF($Z74&lt;&gt;"Y","undefined",IF($AH74&lt;=1,"Y","N")))</f>
        <v/>
      </c>
      <c r="BO74" s="7" t="str">
        <f aca="false">IF($AH74="","",IF($Z74&lt;&gt;"Y","undefined",IF($AH74&lt;=10,"Y","N")))</f>
        <v/>
      </c>
      <c r="BP74" s="7" t="str">
        <f aca="false">IF($AH74="","",IF($Z74&lt;&gt;"Y","undefined",IF($AH74&lt;=100,"Y","N")))</f>
        <v/>
      </c>
    </row>
    <row r="75" customFormat="false" ht="15" hidden="false" customHeight="false" outlineLevel="0" collapsed="false">
      <c r="A75" s="7" t="str">
        <f aca="false">IF($B75="","",$B75&amp;"|"&amp;$C75&amp;"|"&amp;$F75)</f>
        <v/>
      </c>
      <c r="B75" s="5"/>
      <c r="C75" s="5"/>
      <c r="D75" s="5"/>
      <c r="E75" s="5"/>
      <c r="F75" s="5"/>
      <c r="G75" s="5"/>
      <c r="H75" s="5"/>
      <c r="I75" s="5"/>
      <c r="J75" s="20"/>
      <c r="K75" s="20"/>
      <c r="L75" s="28"/>
      <c r="M75" s="20"/>
      <c r="N75" s="28"/>
      <c r="O75" s="19"/>
      <c r="P75" s="19"/>
      <c r="Q75" s="5"/>
      <c r="R75" s="19"/>
      <c r="S75" s="5"/>
      <c r="T75" s="20"/>
      <c r="U75" s="20"/>
      <c r="V75" s="29"/>
      <c r="W75" s="28"/>
      <c r="X75" s="19"/>
      <c r="Y75" s="19"/>
      <c r="Z75" s="5"/>
      <c r="AA75" s="19"/>
      <c r="AB75" s="5"/>
      <c r="AC75" s="5"/>
      <c r="AD75" s="5"/>
      <c r="AE75" s="5"/>
      <c r="AF75" s="30"/>
      <c r="AG75" s="30"/>
      <c r="AH75" s="30"/>
      <c r="AI75" s="30"/>
      <c r="AJ75" s="30"/>
      <c r="AK75" s="30"/>
      <c r="AL75" s="28"/>
      <c r="AM75" s="5"/>
      <c r="AN75" s="19"/>
      <c r="AO75" s="19"/>
      <c r="AP75" s="5"/>
      <c r="AQ75" s="5"/>
      <c r="AR75" s="5"/>
      <c r="AS75" s="5"/>
      <c r="AT75" s="5"/>
      <c r="AU75" s="19"/>
      <c r="AV75" s="19"/>
      <c r="AW75" s="5"/>
      <c r="AX75" s="5"/>
      <c r="AY75" s="19"/>
      <c r="AZ75" s="30"/>
      <c r="BA75" s="5"/>
      <c r="BB75" s="31" t="str">
        <f aca="false">IF(OR($T75="",$M75=""),"",$T75-$M75)</f>
        <v/>
      </c>
      <c r="BC75" s="32" t="str">
        <f aca="false">IF(OR($T75="",$M75="",$M75=0),"",($T75-$M75)/$M75)</f>
        <v/>
      </c>
      <c r="BD75" s="31" t="str">
        <f aca="false">IF(OR($U75="",$M75=""),"",$U75-$M75)</f>
        <v/>
      </c>
      <c r="BE75" s="32" t="str">
        <f aca="false">IF(OR($U75="",$M75="",$M75=0),"",($U75-$M75)/$M75)</f>
        <v/>
      </c>
      <c r="BF75" s="32" t="str">
        <f aca="false">IF(OR($U75="",$J75="",$J75=0),"",($U75-$J75)/$J75)</f>
        <v/>
      </c>
      <c r="BG75" s="32" t="str">
        <f aca="false">IF(OR($M75="",$K75="",$K75=0),"",($M75-$K75)/$K75)</f>
        <v/>
      </c>
      <c r="BH75" s="32" t="str">
        <f aca="false">IF(OR($W75="",$N75="",$N75=0),"",($W75-$N75)/$N75)</f>
        <v/>
      </c>
      <c r="BI75" s="33" t="str">
        <f aca="false">IF(OR($O75="",$X75=""),"",$O75-$X75)</f>
        <v/>
      </c>
      <c r="BJ75" s="33" t="str">
        <f aca="false">IF(OR($P75="",$Y75=""),"",$P75-$Y75)</f>
        <v/>
      </c>
      <c r="BK75" s="34" t="str">
        <f aca="false">IF(OR($AN75="",$AO75="",$AN75=0),"",$AO75/$AN75)</f>
        <v/>
      </c>
      <c r="BL75" s="34" t="str">
        <f aca="false">IF(OR($AU75="",$AV75="",$AU75=0),"",$AV75/$AU75)</f>
        <v/>
      </c>
      <c r="BM75" s="7" t="str">
        <f aca="false">IF($Z75="","",IF(AND($Z75="Y",$AB75&lt;&gt;"N",$AC75&lt;&gt;"Y"),"Y","N"))</f>
        <v/>
      </c>
      <c r="BN75" s="7" t="str">
        <f aca="false">IF($AH75="","",IF($Z75&lt;&gt;"Y","undefined",IF($AH75&lt;=1,"Y","N")))</f>
        <v/>
      </c>
      <c r="BO75" s="7" t="str">
        <f aca="false">IF($AH75="","",IF($Z75&lt;&gt;"Y","undefined",IF($AH75&lt;=10,"Y","N")))</f>
        <v/>
      </c>
      <c r="BP75" s="7" t="str">
        <f aca="false">IF($AH75="","",IF($Z75&lt;&gt;"Y","undefined",IF($AH75&lt;=100,"Y","N")))</f>
        <v/>
      </c>
    </row>
    <row r="76" customFormat="false" ht="15" hidden="false" customHeight="false" outlineLevel="0" collapsed="false">
      <c r="A76" s="7" t="str">
        <f aca="false">IF($B76="","",$B76&amp;"|"&amp;$C76&amp;"|"&amp;$F76)</f>
        <v/>
      </c>
      <c r="B76" s="5"/>
      <c r="C76" s="5"/>
      <c r="D76" s="5"/>
      <c r="E76" s="5"/>
      <c r="F76" s="5"/>
      <c r="G76" s="5"/>
      <c r="H76" s="5"/>
      <c r="I76" s="5"/>
      <c r="J76" s="20"/>
      <c r="K76" s="20"/>
      <c r="L76" s="28"/>
      <c r="M76" s="20"/>
      <c r="N76" s="28"/>
      <c r="O76" s="19"/>
      <c r="P76" s="19"/>
      <c r="Q76" s="5"/>
      <c r="R76" s="19"/>
      <c r="S76" s="5"/>
      <c r="T76" s="20"/>
      <c r="U76" s="20"/>
      <c r="V76" s="29"/>
      <c r="W76" s="28"/>
      <c r="X76" s="19"/>
      <c r="Y76" s="19"/>
      <c r="Z76" s="5"/>
      <c r="AA76" s="19"/>
      <c r="AB76" s="5"/>
      <c r="AC76" s="5"/>
      <c r="AD76" s="5"/>
      <c r="AE76" s="5"/>
      <c r="AF76" s="30"/>
      <c r="AG76" s="30"/>
      <c r="AH76" s="30"/>
      <c r="AI76" s="30"/>
      <c r="AJ76" s="30"/>
      <c r="AK76" s="30"/>
      <c r="AL76" s="28"/>
      <c r="AM76" s="5"/>
      <c r="AN76" s="19"/>
      <c r="AO76" s="19"/>
      <c r="AP76" s="5"/>
      <c r="AQ76" s="5"/>
      <c r="AR76" s="5"/>
      <c r="AS76" s="5"/>
      <c r="AT76" s="5"/>
      <c r="AU76" s="19"/>
      <c r="AV76" s="19"/>
      <c r="AW76" s="5"/>
      <c r="AX76" s="5"/>
      <c r="AY76" s="19"/>
      <c r="AZ76" s="30"/>
      <c r="BA76" s="5"/>
      <c r="BB76" s="31" t="str">
        <f aca="false">IF(OR($T76="",$M76=""),"",$T76-$M76)</f>
        <v/>
      </c>
      <c r="BC76" s="32" t="str">
        <f aca="false">IF(OR($T76="",$M76="",$M76=0),"",($T76-$M76)/$M76)</f>
        <v/>
      </c>
      <c r="BD76" s="31" t="str">
        <f aca="false">IF(OR($U76="",$M76=""),"",$U76-$M76)</f>
        <v/>
      </c>
      <c r="BE76" s="32" t="str">
        <f aca="false">IF(OR($U76="",$M76="",$M76=0),"",($U76-$M76)/$M76)</f>
        <v/>
      </c>
      <c r="BF76" s="32" t="str">
        <f aca="false">IF(OR($U76="",$J76="",$J76=0),"",($U76-$J76)/$J76)</f>
        <v/>
      </c>
      <c r="BG76" s="32" t="str">
        <f aca="false">IF(OR($M76="",$K76="",$K76=0),"",($M76-$K76)/$K76)</f>
        <v/>
      </c>
      <c r="BH76" s="32" t="str">
        <f aca="false">IF(OR($W76="",$N76="",$N76=0),"",($W76-$N76)/$N76)</f>
        <v/>
      </c>
      <c r="BI76" s="33" t="str">
        <f aca="false">IF(OR($O76="",$X76=""),"",$O76-$X76)</f>
        <v/>
      </c>
      <c r="BJ76" s="33" t="str">
        <f aca="false">IF(OR($P76="",$Y76=""),"",$P76-$Y76)</f>
        <v/>
      </c>
      <c r="BK76" s="34" t="str">
        <f aca="false">IF(OR($AN76="",$AO76="",$AN76=0),"",$AO76/$AN76)</f>
        <v/>
      </c>
      <c r="BL76" s="34" t="str">
        <f aca="false">IF(OR($AU76="",$AV76="",$AU76=0),"",$AV76/$AU76)</f>
        <v/>
      </c>
      <c r="BM76" s="7" t="str">
        <f aca="false">IF($Z76="","",IF(AND($Z76="Y",$AB76&lt;&gt;"N",$AC76&lt;&gt;"Y"),"Y","N"))</f>
        <v/>
      </c>
      <c r="BN76" s="7" t="str">
        <f aca="false">IF($AH76="","",IF($Z76&lt;&gt;"Y","undefined",IF($AH76&lt;=1,"Y","N")))</f>
        <v/>
      </c>
      <c r="BO76" s="7" t="str">
        <f aca="false">IF($AH76="","",IF($Z76&lt;&gt;"Y","undefined",IF($AH76&lt;=10,"Y","N")))</f>
        <v/>
      </c>
      <c r="BP76" s="7" t="str">
        <f aca="false">IF($AH76="","",IF($Z76&lt;&gt;"Y","undefined",IF($AH76&lt;=100,"Y","N")))</f>
        <v/>
      </c>
    </row>
    <row r="77" customFormat="false" ht="15" hidden="false" customHeight="false" outlineLevel="0" collapsed="false">
      <c r="A77" s="7" t="str">
        <f aca="false">IF($B77="","",$B77&amp;"|"&amp;$C77&amp;"|"&amp;$F77)</f>
        <v/>
      </c>
      <c r="B77" s="5"/>
      <c r="C77" s="5"/>
      <c r="D77" s="5"/>
      <c r="E77" s="5"/>
      <c r="F77" s="5"/>
      <c r="G77" s="5"/>
      <c r="H77" s="5"/>
      <c r="I77" s="5"/>
      <c r="J77" s="20"/>
      <c r="K77" s="20"/>
      <c r="L77" s="28"/>
      <c r="M77" s="20"/>
      <c r="N77" s="28"/>
      <c r="O77" s="19"/>
      <c r="P77" s="19"/>
      <c r="Q77" s="5"/>
      <c r="R77" s="19"/>
      <c r="S77" s="5"/>
      <c r="T77" s="20"/>
      <c r="U77" s="20"/>
      <c r="V77" s="29"/>
      <c r="W77" s="28"/>
      <c r="X77" s="19"/>
      <c r="Y77" s="19"/>
      <c r="Z77" s="5"/>
      <c r="AA77" s="19"/>
      <c r="AB77" s="5"/>
      <c r="AC77" s="5"/>
      <c r="AD77" s="5"/>
      <c r="AE77" s="5"/>
      <c r="AF77" s="30"/>
      <c r="AG77" s="30"/>
      <c r="AH77" s="30"/>
      <c r="AI77" s="30"/>
      <c r="AJ77" s="30"/>
      <c r="AK77" s="30"/>
      <c r="AL77" s="28"/>
      <c r="AM77" s="5"/>
      <c r="AN77" s="19"/>
      <c r="AO77" s="19"/>
      <c r="AP77" s="5"/>
      <c r="AQ77" s="5"/>
      <c r="AR77" s="5"/>
      <c r="AS77" s="5"/>
      <c r="AT77" s="5"/>
      <c r="AU77" s="19"/>
      <c r="AV77" s="19"/>
      <c r="AW77" s="5"/>
      <c r="AX77" s="5"/>
      <c r="AY77" s="19"/>
      <c r="AZ77" s="30"/>
      <c r="BA77" s="5"/>
      <c r="BB77" s="31" t="str">
        <f aca="false">IF(OR($T77="",$M77=""),"",$T77-$M77)</f>
        <v/>
      </c>
      <c r="BC77" s="32" t="str">
        <f aca="false">IF(OR($T77="",$M77="",$M77=0),"",($T77-$M77)/$M77)</f>
        <v/>
      </c>
      <c r="BD77" s="31" t="str">
        <f aca="false">IF(OR($U77="",$M77=""),"",$U77-$M77)</f>
        <v/>
      </c>
      <c r="BE77" s="32" t="str">
        <f aca="false">IF(OR($U77="",$M77="",$M77=0),"",($U77-$M77)/$M77)</f>
        <v/>
      </c>
      <c r="BF77" s="32" t="str">
        <f aca="false">IF(OR($U77="",$J77="",$J77=0),"",($U77-$J77)/$J77)</f>
        <v/>
      </c>
      <c r="BG77" s="32" t="str">
        <f aca="false">IF(OR($M77="",$K77="",$K77=0),"",($M77-$K77)/$K77)</f>
        <v/>
      </c>
      <c r="BH77" s="32" t="str">
        <f aca="false">IF(OR($W77="",$N77="",$N77=0),"",($W77-$N77)/$N77)</f>
        <v/>
      </c>
      <c r="BI77" s="33" t="str">
        <f aca="false">IF(OR($O77="",$X77=""),"",$O77-$X77)</f>
        <v/>
      </c>
      <c r="BJ77" s="33" t="str">
        <f aca="false">IF(OR($P77="",$Y77=""),"",$P77-$Y77)</f>
        <v/>
      </c>
      <c r="BK77" s="34" t="str">
        <f aca="false">IF(OR($AN77="",$AO77="",$AN77=0),"",$AO77/$AN77)</f>
        <v/>
      </c>
      <c r="BL77" s="34" t="str">
        <f aca="false">IF(OR($AU77="",$AV77="",$AU77=0),"",$AV77/$AU77)</f>
        <v/>
      </c>
      <c r="BM77" s="7" t="str">
        <f aca="false">IF($Z77="","",IF(AND($Z77="Y",$AB77&lt;&gt;"N",$AC77&lt;&gt;"Y"),"Y","N"))</f>
        <v/>
      </c>
      <c r="BN77" s="7" t="str">
        <f aca="false">IF($AH77="","",IF($Z77&lt;&gt;"Y","undefined",IF($AH77&lt;=1,"Y","N")))</f>
        <v/>
      </c>
      <c r="BO77" s="7" t="str">
        <f aca="false">IF($AH77="","",IF($Z77&lt;&gt;"Y","undefined",IF($AH77&lt;=10,"Y","N")))</f>
        <v/>
      </c>
      <c r="BP77" s="7" t="str">
        <f aca="false">IF($AH77="","",IF($Z77&lt;&gt;"Y","undefined",IF($AH77&lt;=100,"Y","N")))</f>
        <v/>
      </c>
    </row>
    <row r="78" customFormat="false" ht="15" hidden="false" customHeight="false" outlineLevel="0" collapsed="false">
      <c r="A78" s="7" t="str">
        <f aca="false">IF($B78="","",$B78&amp;"|"&amp;$C78&amp;"|"&amp;$F78)</f>
        <v/>
      </c>
      <c r="B78" s="5"/>
      <c r="C78" s="5"/>
      <c r="D78" s="5"/>
      <c r="E78" s="5"/>
      <c r="F78" s="5"/>
      <c r="G78" s="5"/>
      <c r="H78" s="5"/>
      <c r="I78" s="5"/>
      <c r="J78" s="20"/>
      <c r="K78" s="20"/>
      <c r="L78" s="28"/>
      <c r="M78" s="20"/>
      <c r="N78" s="28"/>
      <c r="O78" s="19"/>
      <c r="P78" s="19"/>
      <c r="Q78" s="5"/>
      <c r="R78" s="19"/>
      <c r="S78" s="5"/>
      <c r="T78" s="20"/>
      <c r="U78" s="20"/>
      <c r="V78" s="29"/>
      <c r="W78" s="28"/>
      <c r="X78" s="19"/>
      <c r="Y78" s="19"/>
      <c r="Z78" s="5"/>
      <c r="AA78" s="19"/>
      <c r="AB78" s="5"/>
      <c r="AC78" s="5"/>
      <c r="AD78" s="5"/>
      <c r="AE78" s="5"/>
      <c r="AF78" s="30"/>
      <c r="AG78" s="30"/>
      <c r="AH78" s="30"/>
      <c r="AI78" s="30"/>
      <c r="AJ78" s="30"/>
      <c r="AK78" s="30"/>
      <c r="AL78" s="28"/>
      <c r="AM78" s="5"/>
      <c r="AN78" s="19"/>
      <c r="AO78" s="19"/>
      <c r="AP78" s="5"/>
      <c r="AQ78" s="5"/>
      <c r="AR78" s="5"/>
      <c r="AS78" s="5"/>
      <c r="AT78" s="5"/>
      <c r="AU78" s="19"/>
      <c r="AV78" s="19"/>
      <c r="AW78" s="5"/>
      <c r="AX78" s="5"/>
      <c r="AY78" s="19"/>
      <c r="AZ78" s="30"/>
      <c r="BA78" s="5"/>
      <c r="BB78" s="31" t="str">
        <f aca="false">IF(OR($T78="",$M78=""),"",$T78-$M78)</f>
        <v/>
      </c>
      <c r="BC78" s="32" t="str">
        <f aca="false">IF(OR($T78="",$M78="",$M78=0),"",($T78-$M78)/$M78)</f>
        <v/>
      </c>
      <c r="BD78" s="31" t="str">
        <f aca="false">IF(OR($U78="",$M78=""),"",$U78-$M78)</f>
        <v/>
      </c>
      <c r="BE78" s="32" t="str">
        <f aca="false">IF(OR($U78="",$M78="",$M78=0),"",($U78-$M78)/$M78)</f>
        <v/>
      </c>
      <c r="BF78" s="32" t="str">
        <f aca="false">IF(OR($U78="",$J78="",$J78=0),"",($U78-$J78)/$J78)</f>
        <v/>
      </c>
      <c r="BG78" s="32" t="str">
        <f aca="false">IF(OR($M78="",$K78="",$K78=0),"",($M78-$K78)/$K78)</f>
        <v/>
      </c>
      <c r="BH78" s="32" t="str">
        <f aca="false">IF(OR($W78="",$N78="",$N78=0),"",($W78-$N78)/$N78)</f>
        <v/>
      </c>
      <c r="BI78" s="33" t="str">
        <f aca="false">IF(OR($O78="",$X78=""),"",$O78-$X78)</f>
        <v/>
      </c>
      <c r="BJ78" s="33" t="str">
        <f aca="false">IF(OR($P78="",$Y78=""),"",$P78-$Y78)</f>
        <v/>
      </c>
      <c r="BK78" s="34" t="str">
        <f aca="false">IF(OR($AN78="",$AO78="",$AN78=0),"",$AO78/$AN78)</f>
        <v/>
      </c>
      <c r="BL78" s="34" t="str">
        <f aca="false">IF(OR($AU78="",$AV78="",$AU78=0),"",$AV78/$AU78)</f>
        <v/>
      </c>
      <c r="BM78" s="7" t="str">
        <f aca="false">IF($Z78="","",IF(AND($Z78="Y",$AB78&lt;&gt;"N",$AC78&lt;&gt;"Y"),"Y","N"))</f>
        <v/>
      </c>
      <c r="BN78" s="7" t="str">
        <f aca="false">IF($AH78="","",IF($Z78&lt;&gt;"Y","undefined",IF($AH78&lt;=1,"Y","N")))</f>
        <v/>
      </c>
      <c r="BO78" s="7" t="str">
        <f aca="false">IF($AH78="","",IF($Z78&lt;&gt;"Y","undefined",IF($AH78&lt;=10,"Y","N")))</f>
        <v/>
      </c>
      <c r="BP78" s="7" t="str">
        <f aca="false">IF($AH78="","",IF($Z78&lt;&gt;"Y","undefined",IF($AH78&lt;=100,"Y","N")))</f>
        <v/>
      </c>
    </row>
    <row r="79" customFormat="false" ht="15" hidden="false" customHeight="false" outlineLevel="0" collapsed="false">
      <c r="A79" s="7" t="str">
        <f aca="false">IF($B79="","",$B79&amp;"|"&amp;$C79&amp;"|"&amp;$F79)</f>
        <v/>
      </c>
      <c r="B79" s="5"/>
      <c r="C79" s="5"/>
      <c r="D79" s="5"/>
      <c r="E79" s="5"/>
      <c r="F79" s="5"/>
      <c r="G79" s="5"/>
      <c r="H79" s="5"/>
      <c r="I79" s="5"/>
      <c r="J79" s="20"/>
      <c r="K79" s="20"/>
      <c r="L79" s="28"/>
      <c r="M79" s="20"/>
      <c r="N79" s="28"/>
      <c r="O79" s="19"/>
      <c r="P79" s="19"/>
      <c r="Q79" s="5"/>
      <c r="R79" s="19"/>
      <c r="S79" s="5"/>
      <c r="T79" s="20"/>
      <c r="U79" s="20"/>
      <c r="V79" s="29"/>
      <c r="W79" s="28"/>
      <c r="X79" s="19"/>
      <c r="Y79" s="19"/>
      <c r="Z79" s="5"/>
      <c r="AA79" s="19"/>
      <c r="AB79" s="5"/>
      <c r="AC79" s="5"/>
      <c r="AD79" s="5"/>
      <c r="AE79" s="5"/>
      <c r="AF79" s="30"/>
      <c r="AG79" s="30"/>
      <c r="AH79" s="30"/>
      <c r="AI79" s="30"/>
      <c r="AJ79" s="30"/>
      <c r="AK79" s="30"/>
      <c r="AL79" s="28"/>
      <c r="AM79" s="5"/>
      <c r="AN79" s="19"/>
      <c r="AO79" s="19"/>
      <c r="AP79" s="5"/>
      <c r="AQ79" s="5"/>
      <c r="AR79" s="5"/>
      <c r="AS79" s="5"/>
      <c r="AT79" s="5"/>
      <c r="AU79" s="19"/>
      <c r="AV79" s="19"/>
      <c r="AW79" s="5"/>
      <c r="AX79" s="5"/>
      <c r="AY79" s="19"/>
      <c r="AZ79" s="30"/>
      <c r="BA79" s="5"/>
      <c r="BB79" s="31" t="str">
        <f aca="false">IF(OR($T79="",$M79=""),"",$T79-$M79)</f>
        <v/>
      </c>
      <c r="BC79" s="32" t="str">
        <f aca="false">IF(OR($T79="",$M79="",$M79=0),"",($T79-$M79)/$M79)</f>
        <v/>
      </c>
      <c r="BD79" s="31" t="str">
        <f aca="false">IF(OR($U79="",$M79=""),"",$U79-$M79)</f>
        <v/>
      </c>
      <c r="BE79" s="32" t="str">
        <f aca="false">IF(OR($U79="",$M79="",$M79=0),"",($U79-$M79)/$M79)</f>
        <v/>
      </c>
      <c r="BF79" s="32" t="str">
        <f aca="false">IF(OR($U79="",$J79="",$J79=0),"",($U79-$J79)/$J79)</f>
        <v/>
      </c>
      <c r="BG79" s="32" t="str">
        <f aca="false">IF(OR($M79="",$K79="",$K79=0),"",($M79-$K79)/$K79)</f>
        <v/>
      </c>
      <c r="BH79" s="32" t="str">
        <f aca="false">IF(OR($W79="",$N79="",$N79=0),"",($W79-$N79)/$N79)</f>
        <v/>
      </c>
      <c r="BI79" s="33" t="str">
        <f aca="false">IF(OR($O79="",$X79=""),"",$O79-$X79)</f>
        <v/>
      </c>
      <c r="BJ79" s="33" t="str">
        <f aca="false">IF(OR($P79="",$Y79=""),"",$P79-$Y79)</f>
        <v/>
      </c>
      <c r="BK79" s="34" t="str">
        <f aca="false">IF(OR($AN79="",$AO79="",$AN79=0),"",$AO79/$AN79)</f>
        <v/>
      </c>
      <c r="BL79" s="34" t="str">
        <f aca="false">IF(OR($AU79="",$AV79="",$AU79=0),"",$AV79/$AU79)</f>
        <v/>
      </c>
      <c r="BM79" s="7" t="str">
        <f aca="false">IF($Z79="","",IF(AND($Z79="Y",$AB79&lt;&gt;"N",$AC79&lt;&gt;"Y"),"Y","N"))</f>
        <v/>
      </c>
      <c r="BN79" s="7" t="str">
        <f aca="false">IF($AH79="","",IF($Z79&lt;&gt;"Y","undefined",IF($AH79&lt;=1,"Y","N")))</f>
        <v/>
      </c>
      <c r="BO79" s="7" t="str">
        <f aca="false">IF($AH79="","",IF($Z79&lt;&gt;"Y","undefined",IF($AH79&lt;=10,"Y","N")))</f>
        <v/>
      </c>
      <c r="BP79" s="7" t="str">
        <f aca="false">IF($AH79="","",IF($Z79&lt;&gt;"Y","undefined",IF($AH79&lt;=100,"Y","N")))</f>
        <v/>
      </c>
    </row>
    <row r="80" customFormat="false" ht="15" hidden="false" customHeight="false" outlineLevel="0" collapsed="false">
      <c r="A80" s="7" t="str">
        <f aca="false">IF($B80="","",$B80&amp;"|"&amp;$C80&amp;"|"&amp;$F80)</f>
        <v/>
      </c>
      <c r="B80" s="5"/>
      <c r="C80" s="5"/>
      <c r="D80" s="5"/>
      <c r="E80" s="5"/>
      <c r="F80" s="5"/>
      <c r="G80" s="5"/>
      <c r="H80" s="5"/>
      <c r="I80" s="5"/>
      <c r="J80" s="20"/>
      <c r="K80" s="20"/>
      <c r="L80" s="28"/>
      <c r="M80" s="20"/>
      <c r="N80" s="28"/>
      <c r="O80" s="19"/>
      <c r="P80" s="19"/>
      <c r="Q80" s="5"/>
      <c r="R80" s="19"/>
      <c r="S80" s="5"/>
      <c r="T80" s="20"/>
      <c r="U80" s="20"/>
      <c r="V80" s="29"/>
      <c r="W80" s="28"/>
      <c r="X80" s="19"/>
      <c r="Y80" s="19"/>
      <c r="Z80" s="5"/>
      <c r="AA80" s="19"/>
      <c r="AB80" s="5"/>
      <c r="AC80" s="5"/>
      <c r="AD80" s="5"/>
      <c r="AE80" s="5"/>
      <c r="AF80" s="30"/>
      <c r="AG80" s="30"/>
      <c r="AH80" s="30"/>
      <c r="AI80" s="30"/>
      <c r="AJ80" s="30"/>
      <c r="AK80" s="30"/>
      <c r="AL80" s="28"/>
      <c r="AM80" s="5"/>
      <c r="AN80" s="19"/>
      <c r="AO80" s="19"/>
      <c r="AP80" s="5"/>
      <c r="AQ80" s="5"/>
      <c r="AR80" s="5"/>
      <c r="AS80" s="5"/>
      <c r="AT80" s="5"/>
      <c r="AU80" s="19"/>
      <c r="AV80" s="19"/>
      <c r="AW80" s="5"/>
      <c r="AX80" s="5"/>
      <c r="AY80" s="19"/>
      <c r="AZ80" s="30"/>
      <c r="BA80" s="5"/>
      <c r="BB80" s="31" t="str">
        <f aca="false">IF(OR($T80="",$M80=""),"",$T80-$M80)</f>
        <v/>
      </c>
      <c r="BC80" s="32" t="str">
        <f aca="false">IF(OR($T80="",$M80="",$M80=0),"",($T80-$M80)/$M80)</f>
        <v/>
      </c>
      <c r="BD80" s="31" t="str">
        <f aca="false">IF(OR($U80="",$M80=""),"",$U80-$M80)</f>
        <v/>
      </c>
      <c r="BE80" s="32" t="str">
        <f aca="false">IF(OR($U80="",$M80="",$M80=0),"",($U80-$M80)/$M80)</f>
        <v/>
      </c>
      <c r="BF80" s="32" t="str">
        <f aca="false">IF(OR($U80="",$J80="",$J80=0),"",($U80-$J80)/$J80)</f>
        <v/>
      </c>
      <c r="BG80" s="32" t="str">
        <f aca="false">IF(OR($M80="",$K80="",$K80=0),"",($M80-$K80)/$K80)</f>
        <v/>
      </c>
      <c r="BH80" s="32" t="str">
        <f aca="false">IF(OR($W80="",$N80="",$N80=0),"",($W80-$N80)/$N80)</f>
        <v/>
      </c>
      <c r="BI80" s="33" t="str">
        <f aca="false">IF(OR($O80="",$X80=""),"",$O80-$X80)</f>
        <v/>
      </c>
      <c r="BJ80" s="33" t="str">
        <f aca="false">IF(OR($P80="",$Y80=""),"",$P80-$Y80)</f>
        <v/>
      </c>
      <c r="BK80" s="34" t="str">
        <f aca="false">IF(OR($AN80="",$AO80="",$AN80=0),"",$AO80/$AN80)</f>
        <v/>
      </c>
      <c r="BL80" s="34" t="str">
        <f aca="false">IF(OR($AU80="",$AV80="",$AU80=0),"",$AV80/$AU80)</f>
        <v/>
      </c>
      <c r="BM80" s="7" t="str">
        <f aca="false">IF($Z80="","",IF(AND($Z80="Y",$AB80&lt;&gt;"N",$AC80&lt;&gt;"Y"),"Y","N"))</f>
        <v/>
      </c>
      <c r="BN80" s="7" t="str">
        <f aca="false">IF($AH80="","",IF($Z80&lt;&gt;"Y","undefined",IF($AH80&lt;=1,"Y","N")))</f>
        <v/>
      </c>
      <c r="BO80" s="7" t="str">
        <f aca="false">IF($AH80="","",IF($Z80&lt;&gt;"Y","undefined",IF($AH80&lt;=10,"Y","N")))</f>
        <v/>
      </c>
      <c r="BP80" s="7" t="str">
        <f aca="false">IF($AH80="","",IF($Z80&lt;&gt;"Y","undefined",IF($AH80&lt;=100,"Y","N")))</f>
        <v/>
      </c>
    </row>
    <row r="81" customFormat="false" ht="15" hidden="false" customHeight="false" outlineLevel="0" collapsed="false">
      <c r="A81" s="7" t="str">
        <f aca="false">IF($B81="","",$B81&amp;"|"&amp;$C81&amp;"|"&amp;$F81)</f>
        <v/>
      </c>
      <c r="B81" s="5"/>
      <c r="C81" s="5"/>
      <c r="D81" s="5"/>
      <c r="E81" s="5"/>
      <c r="F81" s="5"/>
      <c r="G81" s="5"/>
      <c r="H81" s="5"/>
      <c r="I81" s="5"/>
      <c r="J81" s="20"/>
      <c r="K81" s="20"/>
      <c r="L81" s="28"/>
      <c r="M81" s="20"/>
      <c r="N81" s="28"/>
      <c r="O81" s="19"/>
      <c r="P81" s="19"/>
      <c r="Q81" s="5"/>
      <c r="R81" s="19"/>
      <c r="S81" s="5"/>
      <c r="T81" s="20"/>
      <c r="U81" s="20"/>
      <c r="V81" s="29"/>
      <c r="W81" s="28"/>
      <c r="X81" s="19"/>
      <c r="Y81" s="19"/>
      <c r="Z81" s="5"/>
      <c r="AA81" s="19"/>
      <c r="AB81" s="5"/>
      <c r="AC81" s="5"/>
      <c r="AD81" s="5"/>
      <c r="AE81" s="5"/>
      <c r="AF81" s="30"/>
      <c r="AG81" s="30"/>
      <c r="AH81" s="30"/>
      <c r="AI81" s="30"/>
      <c r="AJ81" s="30"/>
      <c r="AK81" s="30"/>
      <c r="AL81" s="28"/>
      <c r="AM81" s="5"/>
      <c r="AN81" s="19"/>
      <c r="AO81" s="19"/>
      <c r="AP81" s="5"/>
      <c r="AQ81" s="5"/>
      <c r="AR81" s="5"/>
      <c r="AS81" s="5"/>
      <c r="AT81" s="5"/>
      <c r="AU81" s="19"/>
      <c r="AV81" s="19"/>
      <c r="AW81" s="5"/>
      <c r="AX81" s="5"/>
      <c r="AY81" s="19"/>
      <c r="AZ81" s="30"/>
      <c r="BA81" s="5"/>
      <c r="BB81" s="31" t="str">
        <f aca="false">IF(OR($T81="",$M81=""),"",$T81-$M81)</f>
        <v/>
      </c>
      <c r="BC81" s="32" t="str">
        <f aca="false">IF(OR($T81="",$M81="",$M81=0),"",($T81-$M81)/$M81)</f>
        <v/>
      </c>
      <c r="BD81" s="31" t="str">
        <f aca="false">IF(OR($U81="",$M81=""),"",$U81-$M81)</f>
        <v/>
      </c>
      <c r="BE81" s="32" t="str">
        <f aca="false">IF(OR($U81="",$M81="",$M81=0),"",($U81-$M81)/$M81)</f>
        <v/>
      </c>
      <c r="BF81" s="32" t="str">
        <f aca="false">IF(OR($U81="",$J81="",$J81=0),"",($U81-$J81)/$J81)</f>
        <v/>
      </c>
      <c r="BG81" s="32" t="str">
        <f aca="false">IF(OR($M81="",$K81="",$K81=0),"",($M81-$K81)/$K81)</f>
        <v/>
      </c>
      <c r="BH81" s="32" t="str">
        <f aca="false">IF(OR($W81="",$N81="",$N81=0),"",($W81-$N81)/$N81)</f>
        <v/>
      </c>
      <c r="BI81" s="33" t="str">
        <f aca="false">IF(OR($O81="",$X81=""),"",$O81-$X81)</f>
        <v/>
      </c>
      <c r="BJ81" s="33" t="str">
        <f aca="false">IF(OR($P81="",$Y81=""),"",$P81-$Y81)</f>
        <v/>
      </c>
      <c r="BK81" s="34" t="str">
        <f aca="false">IF(OR($AN81="",$AO81="",$AN81=0),"",$AO81/$AN81)</f>
        <v/>
      </c>
      <c r="BL81" s="34" t="str">
        <f aca="false">IF(OR($AU81="",$AV81="",$AU81=0),"",$AV81/$AU81)</f>
        <v/>
      </c>
      <c r="BM81" s="7" t="str">
        <f aca="false">IF($Z81="","",IF(AND($Z81="Y",$AB81&lt;&gt;"N",$AC81&lt;&gt;"Y"),"Y","N"))</f>
        <v/>
      </c>
      <c r="BN81" s="7" t="str">
        <f aca="false">IF($AH81="","",IF($Z81&lt;&gt;"Y","undefined",IF($AH81&lt;=1,"Y","N")))</f>
        <v/>
      </c>
      <c r="BO81" s="7" t="str">
        <f aca="false">IF($AH81="","",IF($Z81&lt;&gt;"Y","undefined",IF($AH81&lt;=10,"Y","N")))</f>
        <v/>
      </c>
      <c r="BP81" s="7" t="str">
        <f aca="false">IF($AH81="","",IF($Z81&lt;&gt;"Y","undefined",IF($AH81&lt;=100,"Y","N")))</f>
        <v/>
      </c>
    </row>
    <row r="82" customFormat="false" ht="15" hidden="false" customHeight="false" outlineLevel="0" collapsed="false">
      <c r="A82" s="7" t="str">
        <f aca="false">IF($B82="","",$B82&amp;"|"&amp;$C82&amp;"|"&amp;$F82)</f>
        <v/>
      </c>
      <c r="B82" s="5"/>
      <c r="C82" s="5"/>
      <c r="D82" s="5"/>
      <c r="E82" s="5"/>
      <c r="F82" s="5"/>
      <c r="G82" s="5"/>
      <c r="H82" s="5"/>
      <c r="I82" s="5"/>
      <c r="J82" s="20"/>
      <c r="K82" s="20"/>
      <c r="L82" s="28"/>
      <c r="M82" s="20"/>
      <c r="N82" s="28"/>
      <c r="O82" s="19"/>
      <c r="P82" s="19"/>
      <c r="Q82" s="5"/>
      <c r="R82" s="19"/>
      <c r="S82" s="5"/>
      <c r="T82" s="20"/>
      <c r="U82" s="20"/>
      <c r="V82" s="29"/>
      <c r="W82" s="28"/>
      <c r="X82" s="19"/>
      <c r="Y82" s="19"/>
      <c r="Z82" s="5"/>
      <c r="AA82" s="19"/>
      <c r="AB82" s="5"/>
      <c r="AC82" s="5"/>
      <c r="AD82" s="5"/>
      <c r="AE82" s="5"/>
      <c r="AF82" s="30"/>
      <c r="AG82" s="30"/>
      <c r="AH82" s="30"/>
      <c r="AI82" s="30"/>
      <c r="AJ82" s="30"/>
      <c r="AK82" s="30"/>
      <c r="AL82" s="28"/>
      <c r="AM82" s="5"/>
      <c r="AN82" s="19"/>
      <c r="AO82" s="19"/>
      <c r="AP82" s="5"/>
      <c r="AQ82" s="5"/>
      <c r="AR82" s="5"/>
      <c r="AS82" s="5"/>
      <c r="AT82" s="5"/>
      <c r="AU82" s="19"/>
      <c r="AV82" s="19"/>
      <c r="AW82" s="5"/>
      <c r="AX82" s="5"/>
      <c r="AY82" s="19"/>
      <c r="AZ82" s="30"/>
      <c r="BA82" s="5"/>
      <c r="BB82" s="31" t="str">
        <f aca="false">IF(OR($T82="",$M82=""),"",$T82-$M82)</f>
        <v/>
      </c>
      <c r="BC82" s="32" t="str">
        <f aca="false">IF(OR($T82="",$M82="",$M82=0),"",($T82-$M82)/$M82)</f>
        <v/>
      </c>
      <c r="BD82" s="31" t="str">
        <f aca="false">IF(OR($U82="",$M82=""),"",$U82-$M82)</f>
        <v/>
      </c>
      <c r="BE82" s="32" t="str">
        <f aca="false">IF(OR($U82="",$M82="",$M82=0),"",($U82-$M82)/$M82)</f>
        <v/>
      </c>
      <c r="BF82" s="32" t="str">
        <f aca="false">IF(OR($U82="",$J82="",$J82=0),"",($U82-$J82)/$J82)</f>
        <v/>
      </c>
      <c r="BG82" s="32" t="str">
        <f aca="false">IF(OR($M82="",$K82="",$K82=0),"",($M82-$K82)/$K82)</f>
        <v/>
      </c>
      <c r="BH82" s="32" t="str">
        <f aca="false">IF(OR($W82="",$N82="",$N82=0),"",($W82-$N82)/$N82)</f>
        <v/>
      </c>
      <c r="BI82" s="33" t="str">
        <f aca="false">IF(OR($O82="",$X82=""),"",$O82-$X82)</f>
        <v/>
      </c>
      <c r="BJ82" s="33" t="str">
        <f aca="false">IF(OR($P82="",$Y82=""),"",$P82-$Y82)</f>
        <v/>
      </c>
      <c r="BK82" s="34" t="str">
        <f aca="false">IF(OR($AN82="",$AO82="",$AN82=0),"",$AO82/$AN82)</f>
        <v/>
      </c>
      <c r="BL82" s="34" t="str">
        <f aca="false">IF(OR($AU82="",$AV82="",$AU82=0),"",$AV82/$AU82)</f>
        <v/>
      </c>
      <c r="BM82" s="7" t="str">
        <f aca="false">IF($Z82="","",IF(AND($Z82="Y",$AB82&lt;&gt;"N",$AC82&lt;&gt;"Y"),"Y","N"))</f>
        <v/>
      </c>
      <c r="BN82" s="7" t="str">
        <f aca="false">IF($AH82="","",IF($Z82&lt;&gt;"Y","undefined",IF($AH82&lt;=1,"Y","N")))</f>
        <v/>
      </c>
      <c r="BO82" s="7" t="str">
        <f aca="false">IF($AH82="","",IF($Z82&lt;&gt;"Y","undefined",IF($AH82&lt;=10,"Y","N")))</f>
        <v/>
      </c>
      <c r="BP82" s="7" t="str">
        <f aca="false">IF($AH82="","",IF($Z82&lt;&gt;"Y","undefined",IF($AH82&lt;=100,"Y","N")))</f>
        <v/>
      </c>
    </row>
    <row r="83" customFormat="false" ht="15" hidden="false" customHeight="false" outlineLevel="0" collapsed="false">
      <c r="A83" s="7" t="str">
        <f aca="false">IF($B83="","",$B83&amp;"|"&amp;$C83&amp;"|"&amp;$F83)</f>
        <v/>
      </c>
      <c r="B83" s="5"/>
      <c r="C83" s="5"/>
      <c r="D83" s="5"/>
      <c r="E83" s="5"/>
      <c r="F83" s="5"/>
      <c r="G83" s="5"/>
      <c r="H83" s="5"/>
      <c r="I83" s="5"/>
      <c r="J83" s="20"/>
      <c r="K83" s="20"/>
      <c r="L83" s="28"/>
      <c r="M83" s="20"/>
      <c r="N83" s="28"/>
      <c r="O83" s="19"/>
      <c r="P83" s="19"/>
      <c r="Q83" s="5"/>
      <c r="R83" s="19"/>
      <c r="S83" s="5"/>
      <c r="T83" s="20"/>
      <c r="U83" s="20"/>
      <c r="V83" s="29"/>
      <c r="W83" s="28"/>
      <c r="X83" s="19"/>
      <c r="Y83" s="19"/>
      <c r="Z83" s="5"/>
      <c r="AA83" s="19"/>
      <c r="AB83" s="5"/>
      <c r="AC83" s="5"/>
      <c r="AD83" s="5"/>
      <c r="AE83" s="5"/>
      <c r="AF83" s="30"/>
      <c r="AG83" s="30"/>
      <c r="AH83" s="30"/>
      <c r="AI83" s="30"/>
      <c r="AJ83" s="30"/>
      <c r="AK83" s="30"/>
      <c r="AL83" s="28"/>
      <c r="AM83" s="5"/>
      <c r="AN83" s="19"/>
      <c r="AO83" s="19"/>
      <c r="AP83" s="5"/>
      <c r="AQ83" s="5"/>
      <c r="AR83" s="5"/>
      <c r="AS83" s="5"/>
      <c r="AT83" s="5"/>
      <c r="AU83" s="19"/>
      <c r="AV83" s="19"/>
      <c r="AW83" s="5"/>
      <c r="AX83" s="5"/>
      <c r="AY83" s="19"/>
      <c r="AZ83" s="30"/>
      <c r="BA83" s="5"/>
      <c r="BB83" s="31" t="str">
        <f aca="false">IF(OR($T83="",$M83=""),"",$T83-$M83)</f>
        <v/>
      </c>
      <c r="BC83" s="32" t="str">
        <f aca="false">IF(OR($T83="",$M83="",$M83=0),"",($T83-$M83)/$M83)</f>
        <v/>
      </c>
      <c r="BD83" s="31" t="str">
        <f aca="false">IF(OR($U83="",$M83=""),"",$U83-$M83)</f>
        <v/>
      </c>
      <c r="BE83" s="32" t="str">
        <f aca="false">IF(OR($U83="",$M83="",$M83=0),"",($U83-$M83)/$M83)</f>
        <v/>
      </c>
      <c r="BF83" s="32" t="str">
        <f aca="false">IF(OR($U83="",$J83="",$J83=0),"",($U83-$J83)/$J83)</f>
        <v/>
      </c>
      <c r="BG83" s="32" t="str">
        <f aca="false">IF(OR($M83="",$K83="",$K83=0),"",($M83-$K83)/$K83)</f>
        <v/>
      </c>
      <c r="BH83" s="32" t="str">
        <f aca="false">IF(OR($W83="",$N83="",$N83=0),"",($W83-$N83)/$N83)</f>
        <v/>
      </c>
      <c r="BI83" s="33" t="str">
        <f aca="false">IF(OR($O83="",$X83=""),"",$O83-$X83)</f>
        <v/>
      </c>
      <c r="BJ83" s="33" t="str">
        <f aca="false">IF(OR($P83="",$Y83=""),"",$P83-$Y83)</f>
        <v/>
      </c>
      <c r="BK83" s="34" t="str">
        <f aca="false">IF(OR($AN83="",$AO83="",$AN83=0),"",$AO83/$AN83)</f>
        <v/>
      </c>
      <c r="BL83" s="34" t="str">
        <f aca="false">IF(OR($AU83="",$AV83="",$AU83=0),"",$AV83/$AU83)</f>
        <v/>
      </c>
      <c r="BM83" s="7" t="str">
        <f aca="false">IF($Z83="","",IF(AND($Z83="Y",$AB83&lt;&gt;"N",$AC83&lt;&gt;"Y"),"Y","N"))</f>
        <v/>
      </c>
      <c r="BN83" s="7" t="str">
        <f aca="false">IF($AH83="","",IF($Z83&lt;&gt;"Y","undefined",IF($AH83&lt;=1,"Y","N")))</f>
        <v/>
      </c>
      <c r="BO83" s="7" t="str">
        <f aca="false">IF($AH83="","",IF($Z83&lt;&gt;"Y","undefined",IF($AH83&lt;=10,"Y","N")))</f>
        <v/>
      </c>
      <c r="BP83" s="7" t="str">
        <f aca="false">IF($AH83="","",IF($Z83&lt;&gt;"Y","undefined",IF($AH83&lt;=100,"Y","N")))</f>
        <v/>
      </c>
    </row>
    <row r="84" customFormat="false" ht="15" hidden="false" customHeight="false" outlineLevel="0" collapsed="false">
      <c r="A84" s="7" t="str">
        <f aca="false">IF($B84="","",$B84&amp;"|"&amp;$C84&amp;"|"&amp;$F84)</f>
        <v/>
      </c>
      <c r="B84" s="5"/>
      <c r="C84" s="5"/>
      <c r="D84" s="5"/>
      <c r="E84" s="5"/>
      <c r="F84" s="5"/>
      <c r="G84" s="5"/>
      <c r="H84" s="5"/>
      <c r="I84" s="5"/>
      <c r="J84" s="20"/>
      <c r="K84" s="20"/>
      <c r="L84" s="28"/>
      <c r="M84" s="20"/>
      <c r="N84" s="28"/>
      <c r="O84" s="19"/>
      <c r="P84" s="19"/>
      <c r="Q84" s="5"/>
      <c r="R84" s="19"/>
      <c r="S84" s="5"/>
      <c r="T84" s="20"/>
      <c r="U84" s="20"/>
      <c r="V84" s="29"/>
      <c r="W84" s="28"/>
      <c r="X84" s="19"/>
      <c r="Y84" s="19"/>
      <c r="Z84" s="5"/>
      <c r="AA84" s="19"/>
      <c r="AB84" s="5"/>
      <c r="AC84" s="5"/>
      <c r="AD84" s="5"/>
      <c r="AE84" s="5"/>
      <c r="AF84" s="30"/>
      <c r="AG84" s="30"/>
      <c r="AH84" s="30"/>
      <c r="AI84" s="30"/>
      <c r="AJ84" s="30"/>
      <c r="AK84" s="30"/>
      <c r="AL84" s="28"/>
      <c r="AM84" s="5"/>
      <c r="AN84" s="19"/>
      <c r="AO84" s="19"/>
      <c r="AP84" s="5"/>
      <c r="AQ84" s="5"/>
      <c r="AR84" s="5"/>
      <c r="AS84" s="5"/>
      <c r="AT84" s="5"/>
      <c r="AU84" s="19"/>
      <c r="AV84" s="19"/>
      <c r="AW84" s="5"/>
      <c r="AX84" s="5"/>
      <c r="AY84" s="19"/>
      <c r="AZ84" s="30"/>
      <c r="BA84" s="5"/>
      <c r="BB84" s="31" t="str">
        <f aca="false">IF(OR($T84="",$M84=""),"",$T84-$M84)</f>
        <v/>
      </c>
      <c r="BC84" s="32" t="str">
        <f aca="false">IF(OR($T84="",$M84="",$M84=0),"",($T84-$M84)/$M84)</f>
        <v/>
      </c>
      <c r="BD84" s="31" t="str">
        <f aca="false">IF(OR($U84="",$M84=""),"",$U84-$M84)</f>
        <v/>
      </c>
      <c r="BE84" s="32" t="str">
        <f aca="false">IF(OR($U84="",$M84="",$M84=0),"",($U84-$M84)/$M84)</f>
        <v/>
      </c>
      <c r="BF84" s="32" t="str">
        <f aca="false">IF(OR($U84="",$J84="",$J84=0),"",($U84-$J84)/$J84)</f>
        <v/>
      </c>
      <c r="BG84" s="32" t="str">
        <f aca="false">IF(OR($M84="",$K84="",$K84=0),"",($M84-$K84)/$K84)</f>
        <v/>
      </c>
      <c r="BH84" s="32" t="str">
        <f aca="false">IF(OR($W84="",$N84="",$N84=0),"",($W84-$N84)/$N84)</f>
        <v/>
      </c>
      <c r="BI84" s="33" t="str">
        <f aca="false">IF(OR($O84="",$X84=""),"",$O84-$X84)</f>
        <v/>
      </c>
      <c r="BJ84" s="33" t="str">
        <f aca="false">IF(OR($P84="",$Y84=""),"",$P84-$Y84)</f>
        <v/>
      </c>
      <c r="BK84" s="34" t="str">
        <f aca="false">IF(OR($AN84="",$AO84="",$AN84=0),"",$AO84/$AN84)</f>
        <v/>
      </c>
      <c r="BL84" s="34" t="str">
        <f aca="false">IF(OR($AU84="",$AV84="",$AU84=0),"",$AV84/$AU84)</f>
        <v/>
      </c>
      <c r="BM84" s="7" t="str">
        <f aca="false">IF($Z84="","",IF(AND($Z84="Y",$AB84&lt;&gt;"N",$AC84&lt;&gt;"Y"),"Y","N"))</f>
        <v/>
      </c>
      <c r="BN84" s="7" t="str">
        <f aca="false">IF($AH84="","",IF($Z84&lt;&gt;"Y","undefined",IF($AH84&lt;=1,"Y","N")))</f>
        <v/>
      </c>
      <c r="BO84" s="7" t="str">
        <f aca="false">IF($AH84="","",IF($Z84&lt;&gt;"Y","undefined",IF($AH84&lt;=10,"Y","N")))</f>
        <v/>
      </c>
      <c r="BP84" s="7" t="str">
        <f aca="false">IF($AH84="","",IF($Z84&lt;&gt;"Y","undefined",IF($AH84&lt;=100,"Y","N")))</f>
        <v/>
      </c>
    </row>
    <row r="85" customFormat="false" ht="15" hidden="false" customHeight="false" outlineLevel="0" collapsed="false">
      <c r="A85" s="7" t="str">
        <f aca="false">IF($B85="","",$B85&amp;"|"&amp;$C85&amp;"|"&amp;$F85)</f>
        <v/>
      </c>
      <c r="B85" s="5"/>
      <c r="C85" s="5"/>
      <c r="D85" s="5"/>
      <c r="E85" s="5"/>
      <c r="F85" s="5"/>
      <c r="G85" s="5"/>
      <c r="H85" s="5"/>
      <c r="I85" s="5"/>
      <c r="J85" s="20"/>
      <c r="K85" s="20"/>
      <c r="L85" s="28"/>
      <c r="M85" s="20"/>
      <c r="N85" s="28"/>
      <c r="O85" s="19"/>
      <c r="P85" s="19"/>
      <c r="Q85" s="5"/>
      <c r="R85" s="19"/>
      <c r="S85" s="5"/>
      <c r="T85" s="20"/>
      <c r="U85" s="20"/>
      <c r="V85" s="29"/>
      <c r="W85" s="28"/>
      <c r="X85" s="19"/>
      <c r="Y85" s="19"/>
      <c r="Z85" s="5"/>
      <c r="AA85" s="19"/>
      <c r="AB85" s="5"/>
      <c r="AC85" s="5"/>
      <c r="AD85" s="5"/>
      <c r="AE85" s="5"/>
      <c r="AF85" s="30"/>
      <c r="AG85" s="30"/>
      <c r="AH85" s="30"/>
      <c r="AI85" s="30"/>
      <c r="AJ85" s="30"/>
      <c r="AK85" s="30"/>
      <c r="AL85" s="28"/>
      <c r="AM85" s="5"/>
      <c r="AN85" s="19"/>
      <c r="AO85" s="19"/>
      <c r="AP85" s="5"/>
      <c r="AQ85" s="5"/>
      <c r="AR85" s="5"/>
      <c r="AS85" s="5"/>
      <c r="AT85" s="5"/>
      <c r="AU85" s="19"/>
      <c r="AV85" s="19"/>
      <c r="AW85" s="5"/>
      <c r="AX85" s="5"/>
      <c r="AY85" s="19"/>
      <c r="AZ85" s="30"/>
      <c r="BA85" s="5"/>
      <c r="BB85" s="31" t="str">
        <f aca="false">IF(OR($T85="",$M85=""),"",$T85-$M85)</f>
        <v/>
      </c>
      <c r="BC85" s="32" t="str">
        <f aca="false">IF(OR($T85="",$M85="",$M85=0),"",($T85-$M85)/$M85)</f>
        <v/>
      </c>
      <c r="BD85" s="31" t="str">
        <f aca="false">IF(OR($U85="",$M85=""),"",$U85-$M85)</f>
        <v/>
      </c>
      <c r="BE85" s="32" t="str">
        <f aca="false">IF(OR($U85="",$M85="",$M85=0),"",($U85-$M85)/$M85)</f>
        <v/>
      </c>
      <c r="BF85" s="32" t="str">
        <f aca="false">IF(OR($U85="",$J85="",$J85=0),"",($U85-$J85)/$J85)</f>
        <v/>
      </c>
      <c r="BG85" s="32" t="str">
        <f aca="false">IF(OR($M85="",$K85="",$K85=0),"",($M85-$K85)/$K85)</f>
        <v/>
      </c>
      <c r="BH85" s="32" t="str">
        <f aca="false">IF(OR($W85="",$N85="",$N85=0),"",($W85-$N85)/$N85)</f>
        <v/>
      </c>
      <c r="BI85" s="33" t="str">
        <f aca="false">IF(OR($O85="",$X85=""),"",$O85-$X85)</f>
        <v/>
      </c>
      <c r="BJ85" s="33" t="str">
        <f aca="false">IF(OR($P85="",$Y85=""),"",$P85-$Y85)</f>
        <v/>
      </c>
      <c r="BK85" s="34" t="str">
        <f aca="false">IF(OR($AN85="",$AO85="",$AN85=0),"",$AO85/$AN85)</f>
        <v/>
      </c>
      <c r="BL85" s="34" t="str">
        <f aca="false">IF(OR($AU85="",$AV85="",$AU85=0),"",$AV85/$AU85)</f>
        <v/>
      </c>
      <c r="BM85" s="7" t="str">
        <f aca="false">IF($Z85="","",IF(AND($Z85="Y",$AB85&lt;&gt;"N",$AC85&lt;&gt;"Y"),"Y","N"))</f>
        <v/>
      </c>
      <c r="BN85" s="7" t="str">
        <f aca="false">IF($AH85="","",IF($Z85&lt;&gt;"Y","undefined",IF($AH85&lt;=1,"Y","N")))</f>
        <v/>
      </c>
      <c r="BO85" s="7" t="str">
        <f aca="false">IF($AH85="","",IF($Z85&lt;&gt;"Y","undefined",IF($AH85&lt;=10,"Y","N")))</f>
        <v/>
      </c>
      <c r="BP85" s="7" t="str">
        <f aca="false">IF($AH85="","",IF($Z85&lt;&gt;"Y","undefined",IF($AH85&lt;=100,"Y","N")))</f>
        <v/>
      </c>
    </row>
    <row r="86" customFormat="false" ht="15" hidden="false" customHeight="false" outlineLevel="0" collapsed="false">
      <c r="A86" s="7" t="str">
        <f aca="false">IF($B86="","",$B86&amp;"|"&amp;$C86&amp;"|"&amp;$F86)</f>
        <v/>
      </c>
      <c r="B86" s="5"/>
      <c r="C86" s="5"/>
      <c r="D86" s="5"/>
      <c r="E86" s="5"/>
      <c r="F86" s="5"/>
      <c r="G86" s="5"/>
      <c r="H86" s="5"/>
      <c r="I86" s="5"/>
      <c r="J86" s="20"/>
      <c r="K86" s="20"/>
      <c r="L86" s="28"/>
      <c r="M86" s="20"/>
      <c r="N86" s="28"/>
      <c r="O86" s="19"/>
      <c r="P86" s="19"/>
      <c r="Q86" s="5"/>
      <c r="R86" s="19"/>
      <c r="S86" s="5"/>
      <c r="T86" s="20"/>
      <c r="U86" s="20"/>
      <c r="V86" s="29"/>
      <c r="W86" s="28"/>
      <c r="X86" s="19"/>
      <c r="Y86" s="19"/>
      <c r="Z86" s="5"/>
      <c r="AA86" s="19"/>
      <c r="AB86" s="5"/>
      <c r="AC86" s="5"/>
      <c r="AD86" s="5"/>
      <c r="AE86" s="5"/>
      <c r="AF86" s="30"/>
      <c r="AG86" s="30"/>
      <c r="AH86" s="30"/>
      <c r="AI86" s="30"/>
      <c r="AJ86" s="30"/>
      <c r="AK86" s="30"/>
      <c r="AL86" s="28"/>
      <c r="AM86" s="5"/>
      <c r="AN86" s="19"/>
      <c r="AO86" s="19"/>
      <c r="AP86" s="5"/>
      <c r="AQ86" s="5"/>
      <c r="AR86" s="5"/>
      <c r="AS86" s="5"/>
      <c r="AT86" s="5"/>
      <c r="AU86" s="19"/>
      <c r="AV86" s="19"/>
      <c r="AW86" s="5"/>
      <c r="AX86" s="5"/>
      <c r="AY86" s="19"/>
      <c r="AZ86" s="30"/>
      <c r="BA86" s="5"/>
      <c r="BB86" s="31" t="str">
        <f aca="false">IF(OR($T86="",$M86=""),"",$T86-$M86)</f>
        <v/>
      </c>
      <c r="BC86" s="32" t="str">
        <f aca="false">IF(OR($T86="",$M86="",$M86=0),"",($T86-$M86)/$M86)</f>
        <v/>
      </c>
      <c r="BD86" s="31" t="str">
        <f aca="false">IF(OR($U86="",$M86=""),"",$U86-$M86)</f>
        <v/>
      </c>
      <c r="BE86" s="32" t="str">
        <f aca="false">IF(OR($U86="",$M86="",$M86=0),"",($U86-$M86)/$M86)</f>
        <v/>
      </c>
      <c r="BF86" s="32" t="str">
        <f aca="false">IF(OR($U86="",$J86="",$J86=0),"",($U86-$J86)/$J86)</f>
        <v/>
      </c>
      <c r="BG86" s="32" t="str">
        <f aca="false">IF(OR($M86="",$K86="",$K86=0),"",($M86-$K86)/$K86)</f>
        <v/>
      </c>
      <c r="BH86" s="32" t="str">
        <f aca="false">IF(OR($W86="",$N86="",$N86=0),"",($W86-$N86)/$N86)</f>
        <v/>
      </c>
      <c r="BI86" s="33" t="str">
        <f aca="false">IF(OR($O86="",$X86=""),"",$O86-$X86)</f>
        <v/>
      </c>
      <c r="BJ86" s="33" t="str">
        <f aca="false">IF(OR($P86="",$Y86=""),"",$P86-$Y86)</f>
        <v/>
      </c>
      <c r="BK86" s="34" t="str">
        <f aca="false">IF(OR($AN86="",$AO86="",$AN86=0),"",$AO86/$AN86)</f>
        <v/>
      </c>
      <c r="BL86" s="34" t="str">
        <f aca="false">IF(OR($AU86="",$AV86="",$AU86=0),"",$AV86/$AU86)</f>
        <v/>
      </c>
      <c r="BM86" s="7" t="str">
        <f aca="false">IF($Z86="","",IF(AND($Z86="Y",$AB86&lt;&gt;"N",$AC86&lt;&gt;"Y"),"Y","N"))</f>
        <v/>
      </c>
      <c r="BN86" s="7" t="str">
        <f aca="false">IF($AH86="","",IF($Z86&lt;&gt;"Y","undefined",IF($AH86&lt;=1,"Y","N")))</f>
        <v/>
      </c>
      <c r="BO86" s="7" t="str">
        <f aca="false">IF($AH86="","",IF($Z86&lt;&gt;"Y","undefined",IF($AH86&lt;=10,"Y","N")))</f>
        <v/>
      </c>
      <c r="BP86" s="7" t="str">
        <f aca="false">IF($AH86="","",IF($Z86&lt;&gt;"Y","undefined",IF($AH86&lt;=100,"Y","N")))</f>
        <v/>
      </c>
    </row>
    <row r="87" customFormat="false" ht="15" hidden="false" customHeight="false" outlineLevel="0" collapsed="false">
      <c r="A87" s="7" t="str">
        <f aca="false">IF($B87="","",$B87&amp;"|"&amp;$C87&amp;"|"&amp;$F87)</f>
        <v/>
      </c>
      <c r="B87" s="5"/>
      <c r="C87" s="5"/>
      <c r="D87" s="5"/>
      <c r="E87" s="5"/>
      <c r="F87" s="5"/>
      <c r="G87" s="5"/>
      <c r="H87" s="5"/>
      <c r="I87" s="5"/>
      <c r="J87" s="20"/>
      <c r="K87" s="20"/>
      <c r="L87" s="28"/>
      <c r="M87" s="20"/>
      <c r="N87" s="28"/>
      <c r="O87" s="19"/>
      <c r="P87" s="19"/>
      <c r="Q87" s="5"/>
      <c r="R87" s="19"/>
      <c r="S87" s="5"/>
      <c r="T87" s="20"/>
      <c r="U87" s="20"/>
      <c r="V87" s="29"/>
      <c r="W87" s="28"/>
      <c r="X87" s="19"/>
      <c r="Y87" s="19"/>
      <c r="Z87" s="5"/>
      <c r="AA87" s="19"/>
      <c r="AB87" s="5"/>
      <c r="AC87" s="5"/>
      <c r="AD87" s="5"/>
      <c r="AE87" s="5"/>
      <c r="AF87" s="30"/>
      <c r="AG87" s="30"/>
      <c r="AH87" s="30"/>
      <c r="AI87" s="30"/>
      <c r="AJ87" s="30"/>
      <c r="AK87" s="30"/>
      <c r="AL87" s="28"/>
      <c r="AM87" s="5"/>
      <c r="AN87" s="19"/>
      <c r="AO87" s="19"/>
      <c r="AP87" s="5"/>
      <c r="AQ87" s="5"/>
      <c r="AR87" s="5"/>
      <c r="AS87" s="5"/>
      <c r="AT87" s="5"/>
      <c r="AU87" s="19"/>
      <c r="AV87" s="19"/>
      <c r="AW87" s="5"/>
      <c r="AX87" s="5"/>
      <c r="AY87" s="19"/>
      <c r="AZ87" s="30"/>
      <c r="BA87" s="5"/>
      <c r="BB87" s="31" t="str">
        <f aca="false">IF(OR($T87="",$M87=""),"",$T87-$M87)</f>
        <v/>
      </c>
      <c r="BC87" s="32" t="str">
        <f aca="false">IF(OR($T87="",$M87="",$M87=0),"",($T87-$M87)/$M87)</f>
        <v/>
      </c>
      <c r="BD87" s="31" t="str">
        <f aca="false">IF(OR($U87="",$M87=""),"",$U87-$M87)</f>
        <v/>
      </c>
      <c r="BE87" s="32" t="str">
        <f aca="false">IF(OR($U87="",$M87="",$M87=0),"",($U87-$M87)/$M87)</f>
        <v/>
      </c>
      <c r="BF87" s="32" t="str">
        <f aca="false">IF(OR($U87="",$J87="",$J87=0),"",($U87-$J87)/$J87)</f>
        <v/>
      </c>
      <c r="BG87" s="32" t="str">
        <f aca="false">IF(OR($M87="",$K87="",$K87=0),"",($M87-$K87)/$K87)</f>
        <v/>
      </c>
      <c r="BH87" s="32" t="str">
        <f aca="false">IF(OR($W87="",$N87="",$N87=0),"",($W87-$N87)/$N87)</f>
        <v/>
      </c>
      <c r="BI87" s="33" t="str">
        <f aca="false">IF(OR($O87="",$X87=""),"",$O87-$X87)</f>
        <v/>
      </c>
      <c r="BJ87" s="33" t="str">
        <f aca="false">IF(OR($P87="",$Y87=""),"",$P87-$Y87)</f>
        <v/>
      </c>
      <c r="BK87" s="34" t="str">
        <f aca="false">IF(OR($AN87="",$AO87="",$AN87=0),"",$AO87/$AN87)</f>
        <v/>
      </c>
      <c r="BL87" s="34" t="str">
        <f aca="false">IF(OR($AU87="",$AV87="",$AU87=0),"",$AV87/$AU87)</f>
        <v/>
      </c>
      <c r="BM87" s="7" t="str">
        <f aca="false">IF($Z87="","",IF(AND($Z87="Y",$AB87&lt;&gt;"N",$AC87&lt;&gt;"Y"),"Y","N"))</f>
        <v/>
      </c>
      <c r="BN87" s="7" t="str">
        <f aca="false">IF($AH87="","",IF($Z87&lt;&gt;"Y","undefined",IF($AH87&lt;=1,"Y","N")))</f>
        <v/>
      </c>
      <c r="BO87" s="7" t="str">
        <f aca="false">IF($AH87="","",IF($Z87&lt;&gt;"Y","undefined",IF($AH87&lt;=10,"Y","N")))</f>
        <v/>
      </c>
      <c r="BP87" s="7" t="str">
        <f aca="false">IF($AH87="","",IF($Z87&lt;&gt;"Y","undefined",IF($AH87&lt;=100,"Y","N")))</f>
        <v/>
      </c>
    </row>
    <row r="88" customFormat="false" ht="15" hidden="false" customHeight="false" outlineLevel="0" collapsed="false">
      <c r="A88" s="7" t="str">
        <f aca="false">IF($B88="","",$B88&amp;"|"&amp;$C88&amp;"|"&amp;$F88)</f>
        <v/>
      </c>
      <c r="B88" s="5"/>
      <c r="C88" s="5"/>
      <c r="D88" s="5"/>
      <c r="E88" s="5"/>
      <c r="F88" s="5"/>
      <c r="G88" s="5"/>
      <c r="H88" s="5"/>
      <c r="I88" s="5"/>
      <c r="J88" s="20"/>
      <c r="K88" s="20"/>
      <c r="L88" s="28"/>
      <c r="M88" s="20"/>
      <c r="N88" s="28"/>
      <c r="O88" s="19"/>
      <c r="P88" s="19"/>
      <c r="Q88" s="5"/>
      <c r="R88" s="19"/>
      <c r="S88" s="5"/>
      <c r="T88" s="20"/>
      <c r="U88" s="20"/>
      <c r="V88" s="29"/>
      <c r="W88" s="28"/>
      <c r="X88" s="19"/>
      <c r="Y88" s="19"/>
      <c r="Z88" s="5"/>
      <c r="AA88" s="19"/>
      <c r="AB88" s="5"/>
      <c r="AC88" s="5"/>
      <c r="AD88" s="5"/>
      <c r="AE88" s="5"/>
      <c r="AF88" s="30"/>
      <c r="AG88" s="30"/>
      <c r="AH88" s="30"/>
      <c r="AI88" s="30"/>
      <c r="AJ88" s="30"/>
      <c r="AK88" s="30"/>
      <c r="AL88" s="28"/>
      <c r="AM88" s="5"/>
      <c r="AN88" s="19"/>
      <c r="AO88" s="19"/>
      <c r="AP88" s="5"/>
      <c r="AQ88" s="5"/>
      <c r="AR88" s="5"/>
      <c r="AS88" s="5"/>
      <c r="AT88" s="5"/>
      <c r="AU88" s="19"/>
      <c r="AV88" s="19"/>
      <c r="AW88" s="5"/>
      <c r="AX88" s="5"/>
      <c r="AY88" s="19"/>
      <c r="AZ88" s="30"/>
      <c r="BA88" s="5"/>
      <c r="BB88" s="31" t="str">
        <f aca="false">IF(OR($T88="",$M88=""),"",$T88-$M88)</f>
        <v/>
      </c>
      <c r="BC88" s="32" t="str">
        <f aca="false">IF(OR($T88="",$M88="",$M88=0),"",($T88-$M88)/$M88)</f>
        <v/>
      </c>
      <c r="BD88" s="31" t="str">
        <f aca="false">IF(OR($U88="",$M88=""),"",$U88-$M88)</f>
        <v/>
      </c>
      <c r="BE88" s="32" t="str">
        <f aca="false">IF(OR($U88="",$M88="",$M88=0),"",($U88-$M88)/$M88)</f>
        <v/>
      </c>
      <c r="BF88" s="32" t="str">
        <f aca="false">IF(OR($U88="",$J88="",$J88=0),"",($U88-$J88)/$J88)</f>
        <v/>
      </c>
      <c r="BG88" s="32" t="str">
        <f aca="false">IF(OR($M88="",$K88="",$K88=0),"",($M88-$K88)/$K88)</f>
        <v/>
      </c>
      <c r="BH88" s="32" t="str">
        <f aca="false">IF(OR($W88="",$N88="",$N88=0),"",($W88-$N88)/$N88)</f>
        <v/>
      </c>
      <c r="BI88" s="33" t="str">
        <f aca="false">IF(OR($O88="",$X88=""),"",$O88-$X88)</f>
        <v/>
      </c>
      <c r="BJ88" s="33" t="str">
        <f aca="false">IF(OR($P88="",$Y88=""),"",$P88-$Y88)</f>
        <v/>
      </c>
      <c r="BK88" s="34" t="str">
        <f aca="false">IF(OR($AN88="",$AO88="",$AN88=0),"",$AO88/$AN88)</f>
        <v/>
      </c>
      <c r="BL88" s="34" t="str">
        <f aca="false">IF(OR($AU88="",$AV88="",$AU88=0),"",$AV88/$AU88)</f>
        <v/>
      </c>
      <c r="BM88" s="7" t="str">
        <f aca="false">IF($Z88="","",IF(AND($Z88="Y",$AB88&lt;&gt;"N",$AC88&lt;&gt;"Y"),"Y","N"))</f>
        <v/>
      </c>
      <c r="BN88" s="7" t="str">
        <f aca="false">IF($AH88="","",IF($Z88&lt;&gt;"Y","undefined",IF($AH88&lt;=1,"Y","N")))</f>
        <v/>
      </c>
      <c r="BO88" s="7" t="str">
        <f aca="false">IF($AH88="","",IF($Z88&lt;&gt;"Y","undefined",IF($AH88&lt;=10,"Y","N")))</f>
        <v/>
      </c>
      <c r="BP88" s="7" t="str">
        <f aca="false">IF($AH88="","",IF($Z88&lt;&gt;"Y","undefined",IF($AH88&lt;=100,"Y","N")))</f>
        <v/>
      </c>
    </row>
    <row r="89" customFormat="false" ht="15" hidden="false" customHeight="false" outlineLevel="0" collapsed="false">
      <c r="A89" s="7" t="str">
        <f aca="false">IF($B89="","",$B89&amp;"|"&amp;$C89&amp;"|"&amp;$F89)</f>
        <v/>
      </c>
      <c r="B89" s="5"/>
      <c r="C89" s="5"/>
      <c r="D89" s="5"/>
      <c r="E89" s="5"/>
      <c r="F89" s="5"/>
      <c r="G89" s="5"/>
      <c r="H89" s="5"/>
      <c r="I89" s="5"/>
      <c r="J89" s="20"/>
      <c r="K89" s="20"/>
      <c r="L89" s="28"/>
      <c r="M89" s="20"/>
      <c r="N89" s="28"/>
      <c r="O89" s="19"/>
      <c r="P89" s="19"/>
      <c r="Q89" s="5"/>
      <c r="R89" s="19"/>
      <c r="S89" s="5"/>
      <c r="T89" s="20"/>
      <c r="U89" s="20"/>
      <c r="V89" s="29"/>
      <c r="W89" s="28"/>
      <c r="X89" s="19"/>
      <c r="Y89" s="19"/>
      <c r="Z89" s="5"/>
      <c r="AA89" s="19"/>
      <c r="AB89" s="5"/>
      <c r="AC89" s="5"/>
      <c r="AD89" s="5"/>
      <c r="AE89" s="5"/>
      <c r="AF89" s="30"/>
      <c r="AG89" s="30"/>
      <c r="AH89" s="30"/>
      <c r="AI89" s="30"/>
      <c r="AJ89" s="30"/>
      <c r="AK89" s="30"/>
      <c r="AL89" s="28"/>
      <c r="AM89" s="5"/>
      <c r="AN89" s="19"/>
      <c r="AO89" s="19"/>
      <c r="AP89" s="5"/>
      <c r="AQ89" s="5"/>
      <c r="AR89" s="5"/>
      <c r="AS89" s="5"/>
      <c r="AT89" s="5"/>
      <c r="AU89" s="19"/>
      <c r="AV89" s="19"/>
      <c r="AW89" s="5"/>
      <c r="AX89" s="5"/>
      <c r="AY89" s="19"/>
      <c r="AZ89" s="30"/>
      <c r="BA89" s="5"/>
      <c r="BB89" s="31" t="str">
        <f aca="false">IF(OR($T89="",$M89=""),"",$T89-$M89)</f>
        <v/>
      </c>
      <c r="BC89" s="32" t="str">
        <f aca="false">IF(OR($T89="",$M89="",$M89=0),"",($T89-$M89)/$M89)</f>
        <v/>
      </c>
      <c r="BD89" s="31" t="str">
        <f aca="false">IF(OR($U89="",$M89=""),"",$U89-$M89)</f>
        <v/>
      </c>
      <c r="BE89" s="32" t="str">
        <f aca="false">IF(OR($U89="",$M89="",$M89=0),"",($U89-$M89)/$M89)</f>
        <v/>
      </c>
      <c r="BF89" s="32" t="str">
        <f aca="false">IF(OR($U89="",$J89="",$J89=0),"",($U89-$J89)/$J89)</f>
        <v/>
      </c>
      <c r="BG89" s="32" t="str">
        <f aca="false">IF(OR($M89="",$K89="",$K89=0),"",($M89-$K89)/$K89)</f>
        <v/>
      </c>
      <c r="BH89" s="32" t="str">
        <f aca="false">IF(OR($W89="",$N89="",$N89=0),"",($W89-$N89)/$N89)</f>
        <v/>
      </c>
      <c r="BI89" s="33" t="str">
        <f aca="false">IF(OR($O89="",$X89=""),"",$O89-$X89)</f>
        <v/>
      </c>
      <c r="BJ89" s="33" t="str">
        <f aca="false">IF(OR($P89="",$Y89=""),"",$P89-$Y89)</f>
        <v/>
      </c>
      <c r="BK89" s="34" t="str">
        <f aca="false">IF(OR($AN89="",$AO89="",$AN89=0),"",$AO89/$AN89)</f>
        <v/>
      </c>
      <c r="BL89" s="34" t="str">
        <f aca="false">IF(OR($AU89="",$AV89="",$AU89=0),"",$AV89/$AU89)</f>
        <v/>
      </c>
      <c r="BM89" s="7" t="str">
        <f aca="false">IF($Z89="","",IF(AND($Z89="Y",$AB89&lt;&gt;"N",$AC89&lt;&gt;"Y"),"Y","N"))</f>
        <v/>
      </c>
      <c r="BN89" s="7" t="str">
        <f aca="false">IF($AH89="","",IF($Z89&lt;&gt;"Y","undefined",IF($AH89&lt;=1,"Y","N")))</f>
        <v/>
      </c>
      <c r="BO89" s="7" t="str">
        <f aca="false">IF($AH89="","",IF($Z89&lt;&gt;"Y","undefined",IF($AH89&lt;=10,"Y","N")))</f>
        <v/>
      </c>
      <c r="BP89" s="7" t="str">
        <f aca="false">IF($AH89="","",IF($Z89&lt;&gt;"Y","undefined",IF($AH89&lt;=100,"Y","N")))</f>
        <v/>
      </c>
    </row>
    <row r="90" customFormat="false" ht="15" hidden="false" customHeight="false" outlineLevel="0" collapsed="false">
      <c r="A90" s="7" t="str">
        <f aca="false">IF($B90="","",$B90&amp;"|"&amp;$C90&amp;"|"&amp;$F90)</f>
        <v/>
      </c>
      <c r="B90" s="5"/>
      <c r="C90" s="5"/>
      <c r="D90" s="5"/>
      <c r="E90" s="5"/>
      <c r="F90" s="5"/>
      <c r="G90" s="5"/>
      <c r="H90" s="5"/>
      <c r="I90" s="5"/>
      <c r="J90" s="20"/>
      <c r="K90" s="20"/>
      <c r="L90" s="28"/>
      <c r="M90" s="20"/>
      <c r="N90" s="28"/>
      <c r="O90" s="19"/>
      <c r="P90" s="19"/>
      <c r="Q90" s="5"/>
      <c r="R90" s="19"/>
      <c r="S90" s="5"/>
      <c r="T90" s="20"/>
      <c r="U90" s="20"/>
      <c r="V90" s="29"/>
      <c r="W90" s="28"/>
      <c r="X90" s="19"/>
      <c r="Y90" s="19"/>
      <c r="Z90" s="5"/>
      <c r="AA90" s="19"/>
      <c r="AB90" s="5"/>
      <c r="AC90" s="5"/>
      <c r="AD90" s="5"/>
      <c r="AE90" s="5"/>
      <c r="AF90" s="30"/>
      <c r="AG90" s="30"/>
      <c r="AH90" s="30"/>
      <c r="AI90" s="30"/>
      <c r="AJ90" s="30"/>
      <c r="AK90" s="30"/>
      <c r="AL90" s="28"/>
      <c r="AM90" s="5"/>
      <c r="AN90" s="19"/>
      <c r="AO90" s="19"/>
      <c r="AP90" s="5"/>
      <c r="AQ90" s="5"/>
      <c r="AR90" s="5"/>
      <c r="AS90" s="5"/>
      <c r="AT90" s="5"/>
      <c r="AU90" s="19"/>
      <c r="AV90" s="19"/>
      <c r="AW90" s="5"/>
      <c r="AX90" s="5"/>
      <c r="AY90" s="19"/>
      <c r="AZ90" s="30"/>
      <c r="BA90" s="5"/>
      <c r="BB90" s="31" t="str">
        <f aca="false">IF(OR($T90="",$M90=""),"",$T90-$M90)</f>
        <v/>
      </c>
      <c r="BC90" s="32" t="str">
        <f aca="false">IF(OR($T90="",$M90="",$M90=0),"",($T90-$M90)/$M90)</f>
        <v/>
      </c>
      <c r="BD90" s="31" t="str">
        <f aca="false">IF(OR($U90="",$M90=""),"",$U90-$M90)</f>
        <v/>
      </c>
      <c r="BE90" s="32" t="str">
        <f aca="false">IF(OR($U90="",$M90="",$M90=0),"",($U90-$M90)/$M90)</f>
        <v/>
      </c>
      <c r="BF90" s="32" t="str">
        <f aca="false">IF(OR($U90="",$J90="",$J90=0),"",($U90-$J90)/$J90)</f>
        <v/>
      </c>
      <c r="BG90" s="32" t="str">
        <f aca="false">IF(OR($M90="",$K90="",$K90=0),"",($M90-$K90)/$K90)</f>
        <v/>
      </c>
      <c r="BH90" s="32" t="str">
        <f aca="false">IF(OR($W90="",$N90="",$N90=0),"",($W90-$N90)/$N90)</f>
        <v/>
      </c>
      <c r="BI90" s="33" t="str">
        <f aca="false">IF(OR($O90="",$X90=""),"",$O90-$X90)</f>
        <v/>
      </c>
      <c r="BJ90" s="33" t="str">
        <f aca="false">IF(OR($P90="",$Y90=""),"",$P90-$Y90)</f>
        <v/>
      </c>
      <c r="BK90" s="34" t="str">
        <f aca="false">IF(OR($AN90="",$AO90="",$AN90=0),"",$AO90/$AN90)</f>
        <v/>
      </c>
      <c r="BL90" s="34" t="str">
        <f aca="false">IF(OR($AU90="",$AV90="",$AU90=0),"",$AV90/$AU90)</f>
        <v/>
      </c>
      <c r="BM90" s="7" t="str">
        <f aca="false">IF($Z90="","",IF(AND($Z90="Y",$AB90&lt;&gt;"N",$AC90&lt;&gt;"Y"),"Y","N"))</f>
        <v/>
      </c>
      <c r="BN90" s="7" t="str">
        <f aca="false">IF($AH90="","",IF($Z90&lt;&gt;"Y","undefined",IF($AH90&lt;=1,"Y","N")))</f>
        <v/>
      </c>
      <c r="BO90" s="7" t="str">
        <f aca="false">IF($AH90="","",IF($Z90&lt;&gt;"Y","undefined",IF($AH90&lt;=10,"Y","N")))</f>
        <v/>
      </c>
      <c r="BP90" s="7" t="str">
        <f aca="false">IF($AH90="","",IF($Z90&lt;&gt;"Y","undefined",IF($AH90&lt;=100,"Y","N")))</f>
        <v/>
      </c>
    </row>
    <row r="91" customFormat="false" ht="15" hidden="false" customHeight="false" outlineLevel="0" collapsed="false">
      <c r="A91" s="7" t="str">
        <f aca="false">IF($B91="","",$B91&amp;"|"&amp;$C91&amp;"|"&amp;$F91)</f>
        <v/>
      </c>
      <c r="B91" s="5"/>
      <c r="C91" s="5"/>
      <c r="D91" s="5"/>
      <c r="E91" s="5"/>
      <c r="F91" s="5"/>
      <c r="G91" s="5"/>
      <c r="H91" s="5"/>
      <c r="I91" s="5"/>
      <c r="J91" s="20"/>
      <c r="K91" s="20"/>
      <c r="L91" s="28"/>
      <c r="M91" s="20"/>
      <c r="N91" s="28"/>
      <c r="O91" s="19"/>
      <c r="P91" s="19"/>
      <c r="Q91" s="5"/>
      <c r="R91" s="19"/>
      <c r="S91" s="5"/>
      <c r="T91" s="20"/>
      <c r="U91" s="20"/>
      <c r="V91" s="29"/>
      <c r="W91" s="28"/>
      <c r="X91" s="19"/>
      <c r="Y91" s="19"/>
      <c r="Z91" s="5"/>
      <c r="AA91" s="19"/>
      <c r="AB91" s="5"/>
      <c r="AC91" s="5"/>
      <c r="AD91" s="5"/>
      <c r="AE91" s="5"/>
      <c r="AF91" s="30"/>
      <c r="AG91" s="30"/>
      <c r="AH91" s="30"/>
      <c r="AI91" s="30"/>
      <c r="AJ91" s="30"/>
      <c r="AK91" s="30"/>
      <c r="AL91" s="28"/>
      <c r="AM91" s="5"/>
      <c r="AN91" s="19"/>
      <c r="AO91" s="19"/>
      <c r="AP91" s="5"/>
      <c r="AQ91" s="5"/>
      <c r="AR91" s="5"/>
      <c r="AS91" s="5"/>
      <c r="AT91" s="5"/>
      <c r="AU91" s="19"/>
      <c r="AV91" s="19"/>
      <c r="AW91" s="5"/>
      <c r="AX91" s="5"/>
      <c r="AY91" s="19"/>
      <c r="AZ91" s="30"/>
      <c r="BA91" s="5"/>
      <c r="BB91" s="31" t="str">
        <f aca="false">IF(OR($T91="",$M91=""),"",$T91-$M91)</f>
        <v/>
      </c>
      <c r="BC91" s="32" t="str">
        <f aca="false">IF(OR($T91="",$M91="",$M91=0),"",($T91-$M91)/$M91)</f>
        <v/>
      </c>
      <c r="BD91" s="31" t="str">
        <f aca="false">IF(OR($U91="",$M91=""),"",$U91-$M91)</f>
        <v/>
      </c>
      <c r="BE91" s="32" t="str">
        <f aca="false">IF(OR($U91="",$M91="",$M91=0),"",($U91-$M91)/$M91)</f>
        <v/>
      </c>
      <c r="BF91" s="32" t="str">
        <f aca="false">IF(OR($U91="",$J91="",$J91=0),"",($U91-$J91)/$J91)</f>
        <v/>
      </c>
      <c r="BG91" s="32" t="str">
        <f aca="false">IF(OR($M91="",$K91="",$K91=0),"",($M91-$K91)/$K91)</f>
        <v/>
      </c>
      <c r="BH91" s="32" t="str">
        <f aca="false">IF(OR($W91="",$N91="",$N91=0),"",($W91-$N91)/$N91)</f>
        <v/>
      </c>
      <c r="BI91" s="33" t="str">
        <f aca="false">IF(OR($O91="",$X91=""),"",$O91-$X91)</f>
        <v/>
      </c>
      <c r="BJ91" s="33" t="str">
        <f aca="false">IF(OR($P91="",$Y91=""),"",$P91-$Y91)</f>
        <v/>
      </c>
      <c r="BK91" s="34" t="str">
        <f aca="false">IF(OR($AN91="",$AO91="",$AN91=0),"",$AO91/$AN91)</f>
        <v/>
      </c>
      <c r="BL91" s="34" t="str">
        <f aca="false">IF(OR($AU91="",$AV91="",$AU91=0),"",$AV91/$AU91)</f>
        <v/>
      </c>
      <c r="BM91" s="7" t="str">
        <f aca="false">IF($Z91="","",IF(AND($Z91="Y",$AB91&lt;&gt;"N",$AC91&lt;&gt;"Y"),"Y","N"))</f>
        <v/>
      </c>
      <c r="BN91" s="7" t="str">
        <f aca="false">IF($AH91="","",IF($Z91&lt;&gt;"Y","undefined",IF($AH91&lt;=1,"Y","N")))</f>
        <v/>
      </c>
      <c r="BO91" s="7" t="str">
        <f aca="false">IF($AH91="","",IF($Z91&lt;&gt;"Y","undefined",IF($AH91&lt;=10,"Y","N")))</f>
        <v/>
      </c>
      <c r="BP91" s="7" t="str">
        <f aca="false">IF($AH91="","",IF($Z91&lt;&gt;"Y","undefined",IF($AH91&lt;=100,"Y","N")))</f>
        <v/>
      </c>
    </row>
    <row r="92" customFormat="false" ht="15" hidden="false" customHeight="false" outlineLevel="0" collapsed="false">
      <c r="A92" s="7" t="str">
        <f aca="false">IF($B92="","",$B92&amp;"|"&amp;$C92&amp;"|"&amp;$F92)</f>
        <v/>
      </c>
      <c r="B92" s="5"/>
      <c r="C92" s="5"/>
      <c r="D92" s="5"/>
      <c r="E92" s="5"/>
      <c r="F92" s="5"/>
      <c r="G92" s="5"/>
      <c r="H92" s="5"/>
      <c r="I92" s="5"/>
      <c r="J92" s="20"/>
      <c r="K92" s="20"/>
      <c r="L92" s="28"/>
      <c r="M92" s="20"/>
      <c r="N92" s="28"/>
      <c r="O92" s="19"/>
      <c r="P92" s="19"/>
      <c r="Q92" s="5"/>
      <c r="R92" s="19"/>
      <c r="S92" s="5"/>
      <c r="T92" s="20"/>
      <c r="U92" s="20"/>
      <c r="V92" s="29"/>
      <c r="W92" s="28"/>
      <c r="X92" s="19"/>
      <c r="Y92" s="19"/>
      <c r="Z92" s="5"/>
      <c r="AA92" s="19"/>
      <c r="AB92" s="5"/>
      <c r="AC92" s="5"/>
      <c r="AD92" s="5"/>
      <c r="AE92" s="5"/>
      <c r="AF92" s="30"/>
      <c r="AG92" s="30"/>
      <c r="AH92" s="30"/>
      <c r="AI92" s="30"/>
      <c r="AJ92" s="30"/>
      <c r="AK92" s="30"/>
      <c r="AL92" s="28"/>
      <c r="AM92" s="5"/>
      <c r="AN92" s="19"/>
      <c r="AO92" s="19"/>
      <c r="AP92" s="5"/>
      <c r="AQ92" s="5"/>
      <c r="AR92" s="5"/>
      <c r="AS92" s="5"/>
      <c r="AT92" s="5"/>
      <c r="AU92" s="19"/>
      <c r="AV92" s="19"/>
      <c r="AW92" s="5"/>
      <c r="AX92" s="5"/>
      <c r="AY92" s="19"/>
      <c r="AZ92" s="30"/>
      <c r="BA92" s="5"/>
      <c r="BB92" s="31" t="str">
        <f aca="false">IF(OR($T92="",$M92=""),"",$T92-$M92)</f>
        <v/>
      </c>
      <c r="BC92" s="32" t="str">
        <f aca="false">IF(OR($T92="",$M92="",$M92=0),"",($T92-$M92)/$M92)</f>
        <v/>
      </c>
      <c r="BD92" s="31" t="str">
        <f aca="false">IF(OR($U92="",$M92=""),"",$U92-$M92)</f>
        <v/>
      </c>
      <c r="BE92" s="32" t="str">
        <f aca="false">IF(OR($U92="",$M92="",$M92=0),"",($U92-$M92)/$M92)</f>
        <v/>
      </c>
      <c r="BF92" s="32" t="str">
        <f aca="false">IF(OR($U92="",$J92="",$J92=0),"",($U92-$J92)/$J92)</f>
        <v/>
      </c>
      <c r="BG92" s="32" t="str">
        <f aca="false">IF(OR($M92="",$K92="",$K92=0),"",($M92-$K92)/$K92)</f>
        <v/>
      </c>
      <c r="BH92" s="32" t="str">
        <f aca="false">IF(OR($W92="",$N92="",$N92=0),"",($W92-$N92)/$N92)</f>
        <v/>
      </c>
      <c r="BI92" s="33" t="str">
        <f aca="false">IF(OR($O92="",$X92=""),"",$O92-$X92)</f>
        <v/>
      </c>
      <c r="BJ92" s="33" t="str">
        <f aca="false">IF(OR($P92="",$Y92=""),"",$P92-$Y92)</f>
        <v/>
      </c>
      <c r="BK92" s="34" t="str">
        <f aca="false">IF(OR($AN92="",$AO92="",$AN92=0),"",$AO92/$AN92)</f>
        <v/>
      </c>
      <c r="BL92" s="34" t="str">
        <f aca="false">IF(OR($AU92="",$AV92="",$AU92=0),"",$AV92/$AU92)</f>
        <v/>
      </c>
      <c r="BM92" s="7" t="str">
        <f aca="false">IF($Z92="","",IF(AND($Z92="Y",$AB92&lt;&gt;"N",$AC92&lt;&gt;"Y"),"Y","N"))</f>
        <v/>
      </c>
      <c r="BN92" s="7" t="str">
        <f aca="false">IF($AH92="","",IF($Z92&lt;&gt;"Y","undefined",IF($AH92&lt;=1,"Y","N")))</f>
        <v/>
      </c>
      <c r="BO92" s="7" t="str">
        <f aca="false">IF($AH92="","",IF($Z92&lt;&gt;"Y","undefined",IF($AH92&lt;=10,"Y","N")))</f>
        <v/>
      </c>
      <c r="BP92" s="7" t="str">
        <f aca="false">IF($AH92="","",IF($Z92&lt;&gt;"Y","undefined",IF($AH92&lt;=100,"Y","N")))</f>
        <v/>
      </c>
    </row>
    <row r="93" customFormat="false" ht="15" hidden="false" customHeight="false" outlineLevel="0" collapsed="false">
      <c r="A93" s="7" t="str">
        <f aca="false">IF($B93="","",$B93&amp;"|"&amp;$C93&amp;"|"&amp;$F93)</f>
        <v/>
      </c>
      <c r="B93" s="5"/>
      <c r="C93" s="5"/>
      <c r="D93" s="5"/>
      <c r="E93" s="5"/>
      <c r="F93" s="5"/>
      <c r="G93" s="5"/>
      <c r="H93" s="5"/>
      <c r="I93" s="5"/>
      <c r="J93" s="20"/>
      <c r="K93" s="20"/>
      <c r="L93" s="28"/>
      <c r="M93" s="20"/>
      <c r="N93" s="28"/>
      <c r="O93" s="19"/>
      <c r="P93" s="19"/>
      <c r="Q93" s="5"/>
      <c r="R93" s="19"/>
      <c r="S93" s="5"/>
      <c r="T93" s="20"/>
      <c r="U93" s="20"/>
      <c r="V93" s="29"/>
      <c r="W93" s="28"/>
      <c r="X93" s="19"/>
      <c r="Y93" s="19"/>
      <c r="Z93" s="5"/>
      <c r="AA93" s="19"/>
      <c r="AB93" s="5"/>
      <c r="AC93" s="5"/>
      <c r="AD93" s="5"/>
      <c r="AE93" s="5"/>
      <c r="AF93" s="30"/>
      <c r="AG93" s="30"/>
      <c r="AH93" s="30"/>
      <c r="AI93" s="30"/>
      <c r="AJ93" s="30"/>
      <c r="AK93" s="30"/>
      <c r="AL93" s="28"/>
      <c r="AM93" s="5"/>
      <c r="AN93" s="19"/>
      <c r="AO93" s="19"/>
      <c r="AP93" s="5"/>
      <c r="AQ93" s="5"/>
      <c r="AR93" s="5"/>
      <c r="AS93" s="5"/>
      <c r="AT93" s="5"/>
      <c r="AU93" s="19"/>
      <c r="AV93" s="19"/>
      <c r="AW93" s="5"/>
      <c r="AX93" s="5"/>
      <c r="AY93" s="19"/>
      <c r="AZ93" s="30"/>
      <c r="BA93" s="5"/>
      <c r="BB93" s="31" t="str">
        <f aca="false">IF(OR($T93="",$M93=""),"",$T93-$M93)</f>
        <v/>
      </c>
      <c r="BC93" s="32" t="str">
        <f aca="false">IF(OR($T93="",$M93="",$M93=0),"",($T93-$M93)/$M93)</f>
        <v/>
      </c>
      <c r="BD93" s="31" t="str">
        <f aca="false">IF(OR($U93="",$M93=""),"",$U93-$M93)</f>
        <v/>
      </c>
      <c r="BE93" s="32" t="str">
        <f aca="false">IF(OR($U93="",$M93="",$M93=0),"",($U93-$M93)/$M93)</f>
        <v/>
      </c>
      <c r="BF93" s="32" t="str">
        <f aca="false">IF(OR($U93="",$J93="",$J93=0),"",($U93-$J93)/$J93)</f>
        <v/>
      </c>
      <c r="BG93" s="32" t="str">
        <f aca="false">IF(OR($M93="",$K93="",$K93=0),"",($M93-$K93)/$K93)</f>
        <v/>
      </c>
      <c r="BH93" s="32" t="str">
        <f aca="false">IF(OR($W93="",$N93="",$N93=0),"",($W93-$N93)/$N93)</f>
        <v/>
      </c>
      <c r="BI93" s="33" t="str">
        <f aca="false">IF(OR($O93="",$X93=""),"",$O93-$X93)</f>
        <v/>
      </c>
      <c r="BJ93" s="33" t="str">
        <f aca="false">IF(OR($P93="",$Y93=""),"",$P93-$Y93)</f>
        <v/>
      </c>
      <c r="BK93" s="34" t="str">
        <f aca="false">IF(OR($AN93="",$AO93="",$AN93=0),"",$AO93/$AN93)</f>
        <v/>
      </c>
      <c r="BL93" s="34" t="str">
        <f aca="false">IF(OR($AU93="",$AV93="",$AU93=0),"",$AV93/$AU93)</f>
        <v/>
      </c>
      <c r="BM93" s="7" t="str">
        <f aca="false">IF($Z93="","",IF(AND($Z93="Y",$AB93&lt;&gt;"N",$AC93&lt;&gt;"Y"),"Y","N"))</f>
        <v/>
      </c>
      <c r="BN93" s="7" t="str">
        <f aca="false">IF($AH93="","",IF($Z93&lt;&gt;"Y","undefined",IF($AH93&lt;=1,"Y","N")))</f>
        <v/>
      </c>
      <c r="BO93" s="7" t="str">
        <f aca="false">IF($AH93="","",IF($Z93&lt;&gt;"Y","undefined",IF($AH93&lt;=10,"Y","N")))</f>
        <v/>
      </c>
      <c r="BP93" s="7" t="str">
        <f aca="false">IF($AH93="","",IF($Z93&lt;&gt;"Y","undefined",IF($AH93&lt;=100,"Y","N")))</f>
        <v/>
      </c>
    </row>
    <row r="94" customFormat="false" ht="15" hidden="false" customHeight="false" outlineLevel="0" collapsed="false">
      <c r="A94" s="7" t="str">
        <f aca="false">IF($B94="","",$B94&amp;"|"&amp;$C94&amp;"|"&amp;$F94)</f>
        <v/>
      </c>
      <c r="B94" s="5"/>
      <c r="C94" s="5"/>
      <c r="D94" s="5"/>
      <c r="E94" s="5"/>
      <c r="F94" s="5"/>
      <c r="G94" s="5"/>
      <c r="H94" s="5"/>
      <c r="I94" s="5"/>
      <c r="J94" s="20"/>
      <c r="K94" s="20"/>
      <c r="L94" s="28"/>
      <c r="M94" s="20"/>
      <c r="N94" s="28"/>
      <c r="O94" s="19"/>
      <c r="P94" s="19"/>
      <c r="Q94" s="5"/>
      <c r="R94" s="19"/>
      <c r="S94" s="5"/>
      <c r="T94" s="20"/>
      <c r="U94" s="20"/>
      <c r="V94" s="29"/>
      <c r="W94" s="28"/>
      <c r="X94" s="19"/>
      <c r="Y94" s="19"/>
      <c r="Z94" s="5"/>
      <c r="AA94" s="19"/>
      <c r="AB94" s="5"/>
      <c r="AC94" s="5"/>
      <c r="AD94" s="5"/>
      <c r="AE94" s="5"/>
      <c r="AF94" s="30"/>
      <c r="AG94" s="30"/>
      <c r="AH94" s="30"/>
      <c r="AI94" s="30"/>
      <c r="AJ94" s="30"/>
      <c r="AK94" s="30"/>
      <c r="AL94" s="28"/>
      <c r="AM94" s="5"/>
      <c r="AN94" s="19"/>
      <c r="AO94" s="19"/>
      <c r="AP94" s="5"/>
      <c r="AQ94" s="5"/>
      <c r="AR94" s="5"/>
      <c r="AS94" s="5"/>
      <c r="AT94" s="5"/>
      <c r="AU94" s="19"/>
      <c r="AV94" s="19"/>
      <c r="AW94" s="5"/>
      <c r="AX94" s="5"/>
      <c r="AY94" s="19"/>
      <c r="AZ94" s="30"/>
      <c r="BA94" s="5"/>
      <c r="BB94" s="31" t="str">
        <f aca="false">IF(OR($T94="",$M94=""),"",$T94-$M94)</f>
        <v/>
      </c>
      <c r="BC94" s="32" t="str">
        <f aca="false">IF(OR($T94="",$M94="",$M94=0),"",($T94-$M94)/$M94)</f>
        <v/>
      </c>
      <c r="BD94" s="31" t="str">
        <f aca="false">IF(OR($U94="",$M94=""),"",$U94-$M94)</f>
        <v/>
      </c>
      <c r="BE94" s="32" t="str">
        <f aca="false">IF(OR($U94="",$M94="",$M94=0),"",($U94-$M94)/$M94)</f>
        <v/>
      </c>
      <c r="BF94" s="32" t="str">
        <f aca="false">IF(OR($U94="",$J94="",$J94=0),"",($U94-$J94)/$J94)</f>
        <v/>
      </c>
      <c r="BG94" s="32" t="str">
        <f aca="false">IF(OR($M94="",$K94="",$K94=0),"",($M94-$K94)/$K94)</f>
        <v/>
      </c>
      <c r="BH94" s="32" t="str">
        <f aca="false">IF(OR($W94="",$N94="",$N94=0),"",($W94-$N94)/$N94)</f>
        <v/>
      </c>
      <c r="BI94" s="33" t="str">
        <f aca="false">IF(OR($O94="",$X94=""),"",$O94-$X94)</f>
        <v/>
      </c>
      <c r="BJ94" s="33" t="str">
        <f aca="false">IF(OR($P94="",$Y94=""),"",$P94-$Y94)</f>
        <v/>
      </c>
      <c r="BK94" s="34" t="str">
        <f aca="false">IF(OR($AN94="",$AO94="",$AN94=0),"",$AO94/$AN94)</f>
        <v/>
      </c>
      <c r="BL94" s="34" t="str">
        <f aca="false">IF(OR($AU94="",$AV94="",$AU94=0),"",$AV94/$AU94)</f>
        <v/>
      </c>
      <c r="BM94" s="7" t="str">
        <f aca="false">IF($Z94="","",IF(AND($Z94="Y",$AB94&lt;&gt;"N",$AC94&lt;&gt;"Y"),"Y","N"))</f>
        <v/>
      </c>
      <c r="BN94" s="7" t="str">
        <f aca="false">IF($AH94="","",IF($Z94&lt;&gt;"Y","undefined",IF($AH94&lt;=1,"Y","N")))</f>
        <v/>
      </c>
      <c r="BO94" s="7" t="str">
        <f aca="false">IF($AH94="","",IF($Z94&lt;&gt;"Y","undefined",IF($AH94&lt;=10,"Y","N")))</f>
        <v/>
      </c>
      <c r="BP94" s="7" t="str">
        <f aca="false">IF($AH94="","",IF($Z94&lt;&gt;"Y","undefined",IF($AH94&lt;=100,"Y","N")))</f>
        <v/>
      </c>
    </row>
    <row r="95" customFormat="false" ht="15" hidden="false" customHeight="false" outlineLevel="0" collapsed="false">
      <c r="A95" s="7" t="str">
        <f aca="false">IF($B95="","",$B95&amp;"|"&amp;$C95&amp;"|"&amp;$F95)</f>
        <v/>
      </c>
      <c r="B95" s="5"/>
      <c r="C95" s="5"/>
      <c r="D95" s="5"/>
      <c r="E95" s="5"/>
      <c r="F95" s="5"/>
      <c r="G95" s="5"/>
      <c r="H95" s="5"/>
      <c r="I95" s="5"/>
      <c r="J95" s="20"/>
      <c r="K95" s="20"/>
      <c r="L95" s="28"/>
      <c r="M95" s="20"/>
      <c r="N95" s="28"/>
      <c r="O95" s="19"/>
      <c r="P95" s="19"/>
      <c r="Q95" s="5"/>
      <c r="R95" s="19"/>
      <c r="S95" s="5"/>
      <c r="T95" s="20"/>
      <c r="U95" s="20"/>
      <c r="V95" s="29"/>
      <c r="W95" s="28"/>
      <c r="X95" s="19"/>
      <c r="Y95" s="19"/>
      <c r="Z95" s="5"/>
      <c r="AA95" s="19"/>
      <c r="AB95" s="5"/>
      <c r="AC95" s="5"/>
      <c r="AD95" s="5"/>
      <c r="AE95" s="5"/>
      <c r="AF95" s="30"/>
      <c r="AG95" s="30"/>
      <c r="AH95" s="30"/>
      <c r="AI95" s="30"/>
      <c r="AJ95" s="30"/>
      <c r="AK95" s="30"/>
      <c r="AL95" s="28"/>
      <c r="AM95" s="5"/>
      <c r="AN95" s="19"/>
      <c r="AO95" s="19"/>
      <c r="AP95" s="5"/>
      <c r="AQ95" s="5"/>
      <c r="AR95" s="5"/>
      <c r="AS95" s="5"/>
      <c r="AT95" s="5"/>
      <c r="AU95" s="19"/>
      <c r="AV95" s="19"/>
      <c r="AW95" s="5"/>
      <c r="AX95" s="5"/>
      <c r="AY95" s="19"/>
      <c r="AZ95" s="30"/>
      <c r="BA95" s="5"/>
      <c r="BB95" s="31" t="str">
        <f aca="false">IF(OR($T95="",$M95=""),"",$T95-$M95)</f>
        <v/>
      </c>
      <c r="BC95" s="32" t="str">
        <f aca="false">IF(OR($T95="",$M95="",$M95=0),"",($T95-$M95)/$M95)</f>
        <v/>
      </c>
      <c r="BD95" s="31" t="str">
        <f aca="false">IF(OR($U95="",$M95=""),"",$U95-$M95)</f>
        <v/>
      </c>
      <c r="BE95" s="32" t="str">
        <f aca="false">IF(OR($U95="",$M95="",$M95=0),"",($U95-$M95)/$M95)</f>
        <v/>
      </c>
      <c r="BF95" s="32" t="str">
        <f aca="false">IF(OR($U95="",$J95="",$J95=0),"",($U95-$J95)/$J95)</f>
        <v/>
      </c>
      <c r="BG95" s="32" t="str">
        <f aca="false">IF(OR($M95="",$K95="",$K95=0),"",($M95-$K95)/$K95)</f>
        <v/>
      </c>
      <c r="BH95" s="32" t="str">
        <f aca="false">IF(OR($W95="",$N95="",$N95=0),"",($W95-$N95)/$N95)</f>
        <v/>
      </c>
      <c r="BI95" s="33" t="str">
        <f aca="false">IF(OR($O95="",$X95=""),"",$O95-$X95)</f>
        <v/>
      </c>
      <c r="BJ95" s="33" t="str">
        <f aca="false">IF(OR($P95="",$Y95=""),"",$P95-$Y95)</f>
        <v/>
      </c>
      <c r="BK95" s="34" t="str">
        <f aca="false">IF(OR($AN95="",$AO95="",$AN95=0),"",$AO95/$AN95)</f>
        <v/>
      </c>
      <c r="BL95" s="34" t="str">
        <f aca="false">IF(OR($AU95="",$AV95="",$AU95=0),"",$AV95/$AU95)</f>
        <v/>
      </c>
      <c r="BM95" s="7" t="str">
        <f aca="false">IF($Z95="","",IF(AND($Z95="Y",$AB95&lt;&gt;"N",$AC95&lt;&gt;"Y"),"Y","N"))</f>
        <v/>
      </c>
      <c r="BN95" s="7" t="str">
        <f aca="false">IF($AH95="","",IF($Z95&lt;&gt;"Y","undefined",IF($AH95&lt;=1,"Y","N")))</f>
        <v/>
      </c>
      <c r="BO95" s="7" t="str">
        <f aca="false">IF($AH95="","",IF($Z95&lt;&gt;"Y","undefined",IF($AH95&lt;=10,"Y","N")))</f>
        <v/>
      </c>
      <c r="BP95" s="7" t="str">
        <f aca="false">IF($AH95="","",IF($Z95&lt;&gt;"Y","undefined",IF($AH95&lt;=100,"Y","N")))</f>
        <v/>
      </c>
    </row>
    <row r="96" customFormat="false" ht="15" hidden="false" customHeight="false" outlineLevel="0" collapsed="false">
      <c r="A96" s="7" t="str">
        <f aca="false">IF($B96="","",$B96&amp;"|"&amp;$C96&amp;"|"&amp;$F96)</f>
        <v/>
      </c>
      <c r="B96" s="5"/>
      <c r="C96" s="5"/>
      <c r="D96" s="5"/>
      <c r="E96" s="5"/>
      <c r="F96" s="5"/>
      <c r="G96" s="5"/>
      <c r="H96" s="5"/>
      <c r="I96" s="5"/>
      <c r="J96" s="20"/>
      <c r="K96" s="20"/>
      <c r="L96" s="28"/>
      <c r="M96" s="20"/>
      <c r="N96" s="28"/>
      <c r="O96" s="19"/>
      <c r="P96" s="19"/>
      <c r="Q96" s="5"/>
      <c r="R96" s="19"/>
      <c r="S96" s="5"/>
      <c r="T96" s="20"/>
      <c r="U96" s="20"/>
      <c r="V96" s="29"/>
      <c r="W96" s="28"/>
      <c r="X96" s="19"/>
      <c r="Y96" s="19"/>
      <c r="Z96" s="5"/>
      <c r="AA96" s="19"/>
      <c r="AB96" s="5"/>
      <c r="AC96" s="5"/>
      <c r="AD96" s="5"/>
      <c r="AE96" s="5"/>
      <c r="AF96" s="30"/>
      <c r="AG96" s="30"/>
      <c r="AH96" s="30"/>
      <c r="AI96" s="30"/>
      <c r="AJ96" s="30"/>
      <c r="AK96" s="30"/>
      <c r="AL96" s="28"/>
      <c r="AM96" s="5"/>
      <c r="AN96" s="19"/>
      <c r="AO96" s="19"/>
      <c r="AP96" s="5"/>
      <c r="AQ96" s="5"/>
      <c r="AR96" s="5"/>
      <c r="AS96" s="5"/>
      <c r="AT96" s="5"/>
      <c r="AU96" s="19"/>
      <c r="AV96" s="19"/>
      <c r="AW96" s="5"/>
      <c r="AX96" s="5"/>
      <c r="AY96" s="19"/>
      <c r="AZ96" s="30"/>
      <c r="BA96" s="5"/>
      <c r="BB96" s="31" t="str">
        <f aca="false">IF(OR($T96="",$M96=""),"",$T96-$M96)</f>
        <v/>
      </c>
      <c r="BC96" s="32" t="str">
        <f aca="false">IF(OR($T96="",$M96="",$M96=0),"",($T96-$M96)/$M96)</f>
        <v/>
      </c>
      <c r="BD96" s="31" t="str">
        <f aca="false">IF(OR($U96="",$M96=""),"",$U96-$M96)</f>
        <v/>
      </c>
      <c r="BE96" s="32" t="str">
        <f aca="false">IF(OR($U96="",$M96="",$M96=0),"",($U96-$M96)/$M96)</f>
        <v/>
      </c>
      <c r="BF96" s="32" t="str">
        <f aca="false">IF(OR($U96="",$J96="",$J96=0),"",($U96-$J96)/$J96)</f>
        <v/>
      </c>
      <c r="BG96" s="32" t="str">
        <f aca="false">IF(OR($M96="",$K96="",$K96=0),"",($M96-$K96)/$K96)</f>
        <v/>
      </c>
      <c r="BH96" s="32" t="str">
        <f aca="false">IF(OR($W96="",$N96="",$N96=0),"",($W96-$N96)/$N96)</f>
        <v/>
      </c>
      <c r="BI96" s="33" t="str">
        <f aca="false">IF(OR($O96="",$X96=""),"",$O96-$X96)</f>
        <v/>
      </c>
      <c r="BJ96" s="33" t="str">
        <f aca="false">IF(OR($P96="",$Y96=""),"",$P96-$Y96)</f>
        <v/>
      </c>
      <c r="BK96" s="34" t="str">
        <f aca="false">IF(OR($AN96="",$AO96="",$AN96=0),"",$AO96/$AN96)</f>
        <v/>
      </c>
      <c r="BL96" s="34" t="str">
        <f aca="false">IF(OR($AU96="",$AV96="",$AU96=0),"",$AV96/$AU96)</f>
        <v/>
      </c>
      <c r="BM96" s="7" t="str">
        <f aca="false">IF($Z96="","",IF(AND($Z96="Y",$AB96&lt;&gt;"N",$AC96&lt;&gt;"Y"),"Y","N"))</f>
        <v/>
      </c>
      <c r="BN96" s="7" t="str">
        <f aca="false">IF($AH96="","",IF($Z96&lt;&gt;"Y","undefined",IF($AH96&lt;=1,"Y","N")))</f>
        <v/>
      </c>
      <c r="BO96" s="7" t="str">
        <f aca="false">IF($AH96="","",IF($Z96&lt;&gt;"Y","undefined",IF($AH96&lt;=10,"Y","N")))</f>
        <v/>
      </c>
      <c r="BP96" s="7" t="str">
        <f aca="false">IF($AH96="","",IF($Z96&lt;&gt;"Y","undefined",IF($AH96&lt;=100,"Y","N")))</f>
        <v/>
      </c>
    </row>
    <row r="97" customFormat="false" ht="15" hidden="false" customHeight="false" outlineLevel="0" collapsed="false">
      <c r="A97" s="7" t="str">
        <f aca="false">IF($B97="","",$B97&amp;"|"&amp;$C97&amp;"|"&amp;$F97)</f>
        <v/>
      </c>
      <c r="B97" s="5"/>
      <c r="C97" s="5"/>
      <c r="D97" s="5"/>
      <c r="E97" s="5"/>
      <c r="F97" s="5"/>
      <c r="G97" s="5"/>
      <c r="H97" s="5"/>
      <c r="I97" s="5"/>
      <c r="J97" s="20"/>
      <c r="K97" s="20"/>
      <c r="L97" s="28"/>
      <c r="M97" s="20"/>
      <c r="N97" s="28"/>
      <c r="O97" s="19"/>
      <c r="P97" s="19"/>
      <c r="Q97" s="5"/>
      <c r="R97" s="19"/>
      <c r="S97" s="5"/>
      <c r="T97" s="20"/>
      <c r="U97" s="20"/>
      <c r="V97" s="29"/>
      <c r="W97" s="28"/>
      <c r="X97" s="19"/>
      <c r="Y97" s="19"/>
      <c r="Z97" s="5"/>
      <c r="AA97" s="19"/>
      <c r="AB97" s="5"/>
      <c r="AC97" s="5"/>
      <c r="AD97" s="5"/>
      <c r="AE97" s="5"/>
      <c r="AF97" s="30"/>
      <c r="AG97" s="30"/>
      <c r="AH97" s="30"/>
      <c r="AI97" s="30"/>
      <c r="AJ97" s="30"/>
      <c r="AK97" s="30"/>
      <c r="AL97" s="28"/>
      <c r="AM97" s="5"/>
      <c r="AN97" s="19"/>
      <c r="AO97" s="19"/>
      <c r="AP97" s="5"/>
      <c r="AQ97" s="5"/>
      <c r="AR97" s="5"/>
      <c r="AS97" s="5"/>
      <c r="AT97" s="5"/>
      <c r="AU97" s="19"/>
      <c r="AV97" s="19"/>
      <c r="AW97" s="5"/>
      <c r="AX97" s="5"/>
      <c r="AY97" s="19"/>
      <c r="AZ97" s="30"/>
      <c r="BA97" s="5"/>
      <c r="BB97" s="31" t="str">
        <f aca="false">IF(OR($T97="",$M97=""),"",$T97-$M97)</f>
        <v/>
      </c>
      <c r="BC97" s="32" t="str">
        <f aca="false">IF(OR($T97="",$M97="",$M97=0),"",($T97-$M97)/$M97)</f>
        <v/>
      </c>
      <c r="BD97" s="31" t="str">
        <f aca="false">IF(OR($U97="",$M97=""),"",$U97-$M97)</f>
        <v/>
      </c>
      <c r="BE97" s="32" t="str">
        <f aca="false">IF(OR($U97="",$M97="",$M97=0),"",($U97-$M97)/$M97)</f>
        <v/>
      </c>
      <c r="BF97" s="32" t="str">
        <f aca="false">IF(OR($U97="",$J97="",$J97=0),"",($U97-$J97)/$J97)</f>
        <v/>
      </c>
      <c r="BG97" s="32" t="str">
        <f aca="false">IF(OR($M97="",$K97="",$K97=0),"",($M97-$K97)/$K97)</f>
        <v/>
      </c>
      <c r="BH97" s="32" t="str">
        <f aca="false">IF(OR($W97="",$N97="",$N97=0),"",($W97-$N97)/$N97)</f>
        <v/>
      </c>
      <c r="BI97" s="33" t="str">
        <f aca="false">IF(OR($O97="",$X97=""),"",$O97-$X97)</f>
        <v/>
      </c>
      <c r="BJ97" s="33" t="str">
        <f aca="false">IF(OR($P97="",$Y97=""),"",$P97-$Y97)</f>
        <v/>
      </c>
      <c r="BK97" s="34" t="str">
        <f aca="false">IF(OR($AN97="",$AO97="",$AN97=0),"",$AO97/$AN97)</f>
        <v/>
      </c>
      <c r="BL97" s="34" t="str">
        <f aca="false">IF(OR($AU97="",$AV97="",$AU97=0),"",$AV97/$AU97)</f>
        <v/>
      </c>
      <c r="BM97" s="7" t="str">
        <f aca="false">IF($Z97="","",IF(AND($Z97="Y",$AB97&lt;&gt;"N",$AC97&lt;&gt;"Y"),"Y","N"))</f>
        <v/>
      </c>
      <c r="BN97" s="7" t="str">
        <f aca="false">IF($AH97="","",IF($Z97&lt;&gt;"Y","undefined",IF($AH97&lt;=1,"Y","N")))</f>
        <v/>
      </c>
      <c r="BO97" s="7" t="str">
        <f aca="false">IF($AH97="","",IF($Z97&lt;&gt;"Y","undefined",IF($AH97&lt;=10,"Y","N")))</f>
        <v/>
      </c>
      <c r="BP97" s="7" t="str">
        <f aca="false">IF($AH97="","",IF($Z97&lt;&gt;"Y","undefined",IF($AH97&lt;=100,"Y","N")))</f>
        <v/>
      </c>
    </row>
    <row r="98" customFormat="false" ht="15" hidden="false" customHeight="false" outlineLevel="0" collapsed="false">
      <c r="A98" s="7" t="str">
        <f aca="false">IF($B98="","",$B98&amp;"|"&amp;$C98&amp;"|"&amp;$F98)</f>
        <v/>
      </c>
      <c r="B98" s="5"/>
      <c r="C98" s="5"/>
      <c r="D98" s="5"/>
      <c r="E98" s="5"/>
      <c r="F98" s="5"/>
      <c r="G98" s="5"/>
      <c r="H98" s="5"/>
      <c r="I98" s="5"/>
      <c r="J98" s="20"/>
      <c r="K98" s="20"/>
      <c r="L98" s="28"/>
      <c r="M98" s="20"/>
      <c r="N98" s="28"/>
      <c r="O98" s="19"/>
      <c r="P98" s="19"/>
      <c r="Q98" s="5"/>
      <c r="R98" s="19"/>
      <c r="S98" s="5"/>
      <c r="T98" s="20"/>
      <c r="U98" s="20"/>
      <c r="V98" s="29"/>
      <c r="W98" s="28"/>
      <c r="X98" s="19"/>
      <c r="Y98" s="19"/>
      <c r="Z98" s="5"/>
      <c r="AA98" s="19"/>
      <c r="AB98" s="5"/>
      <c r="AC98" s="5"/>
      <c r="AD98" s="5"/>
      <c r="AE98" s="5"/>
      <c r="AF98" s="30"/>
      <c r="AG98" s="30"/>
      <c r="AH98" s="30"/>
      <c r="AI98" s="30"/>
      <c r="AJ98" s="30"/>
      <c r="AK98" s="30"/>
      <c r="AL98" s="28"/>
      <c r="AM98" s="5"/>
      <c r="AN98" s="19"/>
      <c r="AO98" s="19"/>
      <c r="AP98" s="5"/>
      <c r="AQ98" s="5"/>
      <c r="AR98" s="5"/>
      <c r="AS98" s="5"/>
      <c r="AT98" s="5"/>
      <c r="AU98" s="19"/>
      <c r="AV98" s="19"/>
      <c r="AW98" s="5"/>
      <c r="AX98" s="5"/>
      <c r="AY98" s="19"/>
      <c r="AZ98" s="30"/>
      <c r="BA98" s="5"/>
      <c r="BB98" s="31" t="str">
        <f aca="false">IF(OR($T98="",$M98=""),"",$T98-$M98)</f>
        <v/>
      </c>
      <c r="BC98" s="32" t="str">
        <f aca="false">IF(OR($T98="",$M98="",$M98=0),"",($T98-$M98)/$M98)</f>
        <v/>
      </c>
      <c r="BD98" s="31" t="str">
        <f aca="false">IF(OR($U98="",$M98=""),"",$U98-$M98)</f>
        <v/>
      </c>
      <c r="BE98" s="32" t="str">
        <f aca="false">IF(OR($U98="",$M98="",$M98=0),"",($U98-$M98)/$M98)</f>
        <v/>
      </c>
      <c r="BF98" s="32" t="str">
        <f aca="false">IF(OR($U98="",$J98="",$J98=0),"",($U98-$J98)/$J98)</f>
        <v/>
      </c>
      <c r="BG98" s="32" t="str">
        <f aca="false">IF(OR($M98="",$K98="",$K98=0),"",($M98-$K98)/$K98)</f>
        <v/>
      </c>
      <c r="BH98" s="32" t="str">
        <f aca="false">IF(OR($W98="",$N98="",$N98=0),"",($W98-$N98)/$N98)</f>
        <v/>
      </c>
      <c r="BI98" s="33" t="str">
        <f aca="false">IF(OR($O98="",$X98=""),"",$O98-$X98)</f>
        <v/>
      </c>
      <c r="BJ98" s="33" t="str">
        <f aca="false">IF(OR($P98="",$Y98=""),"",$P98-$Y98)</f>
        <v/>
      </c>
      <c r="BK98" s="34" t="str">
        <f aca="false">IF(OR($AN98="",$AO98="",$AN98=0),"",$AO98/$AN98)</f>
        <v/>
      </c>
      <c r="BL98" s="34" t="str">
        <f aca="false">IF(OR($AU98="",$AV98="",$AU98=0),"",$AV98/$AU98)</f>
        <v/>
      </c>
      <c r="BM98" s="7" t="str">
        <f aca="false">IF($Z98="","",IF(AND($Z98="Y",$AB98&lt;&gt;"N",$AC98&lt;&gt;"Y"),"Y","N"))</f>
        <v/>
      </c>
      <c r="BN98" s="7" t="str">
        <f aca="false">IF($AH98="","",IF($Z98&lt;&gt;"Y","undefined",IF($AH98&lt;=1,"Y","N")))</f>
        <v/>
      </c>
      <c r="BO98" s="7" t="str">
        <f aca="false">IF($AH98="","",IF($Z98&lt;&gt;"Y","undefined",IF($AH98&lt;=10,"Y","N")))</f>
        <v/>
      </c>
      <c r="BP98" s="7" t="str">
        <f aca="false">IF($AH98="","",IF($Z98&lt;&gt;"Y","undefined",IF($AH98&lt;=100,"Y","N")))</f>
        <v/>
      </c>
    </row>
    <row r="99" customFormat="false" ht="15" hidden="false" customHeight="false" outlineLevel="0" collapsed="false">
      <c r="A99" s="7" t="str">
        <f aca="false">IF($B99="","",$B99&amp;"|"&amp;$C99&amp;"|"&amp;$F99)</f>
        <v/>
      </c>
      <c r="B99" s="5"/>
      <c r="C99" s="5"/>
      <c r="D99" s="5"/>
      <c r="E99" s="5"/>
      <c r="F99" s="5"/>
      <c r="G99" s="5"/>
      <c r="H99" s="5"/>
      <c r="I99" s="5"/>
      <c r="J99" s="20"/>
      <c r="K99" s="20"/>
      <c r="L99" s="28"/>
      <c r="M99" s="20"/>
      <c r="N99" s="28"/>
      <c r="O99" s="19"/>
      <c r="P99" s="19"/>
      <c r="Q99" s="5"/>
      <c r="R99" s="19"/>
      <c r="S99" s="5"/>
      <c r="T99" s="20"/>
      <c r="U99" s="20"/>
      <c r="V99" s="29"/>
      <c r="W99" s="28"/>
      <c r="X99" s="19"/>
      <c r="Y99" s="19"/>
      <c r="Z99" s="5"/>
      <c r="AA99" s="19"/>
      <c r="AB99" s="5"/>
      <c r="AC99" s="5"/>
      <c r="AD99" s="5"/>
      <c r="AE99" s="5"/>
      <c r="AF99" s="30"/>
      <c r="AG99" s="30"/>
      <c r="AH99" s="30"/>
      <c r="AI99" s="30"/>
      <c r="AJ99" s="30"/>
      <c r="AK99" s="30"/>
      <c r="AL99" s="28"/>
      <c r="AM99" s="5"/>
      <c r="AN99" s="19"/>
      <c r="AO99" s="19"/>
      <c r="AP99" s="5"/>
      <c r="AQ99" s="5"/>
      <c r="AR99" s="5"/>
      <c r="AS99" s="5"/>
      <c r="AT99" s="5"/>
      <c r="AU99" s="19"/>
      <c r="AV99" s="19"/>
      <c r="AW99" s="5"/>
      <c r="AX99" s="5"/>
      <c r="AY99" s="19"/>
      <c r="AZ99" s="30"/>
      <c r="BA99" s="5"/>
      <c r="BB99" s="31" t="str">
        <f aca="false">IF(OR($T99="",$M99=""),"",$T99-$M99)</f>
        <v/>
      </c>
      <c r="BC99" s="32" t="str">
        <f aca="false">IF(OR($T99="",$M99="",$M99=0),"",($T99-$M99)/$M99)</f>
        <v/>
      </c>
      <c r="BD99" s="31" t="str">
        <f aca="false">IF(OR($U99="",$M99=""),"",$U99-$M99)</f>
        <v/>
      </c>
      <c r="BE99" s="32" t="str">
        <f aca="false">IF(OR($U99="",$M99="",$M99=0),"",($U99-$M99)/$M99)</f>
        <v/>
      </c>
      <c r="BF99" s="32" t="str">
        <f aca="false">IF(OR($U99="",$J99="",$J99=0),"",($U99-$J99)/$J99)</f>
        <v/>
      </c>
      <c r="BG99" s="32" t="str">
        <f aca="false">IF(OR($M99="",$K99="",$K99=0),"",($M99-$K99)/$K99)</f>
        <v/>
      </c>
      <c r="BH99" s="32" t="str">
        <f aca="false">IF(OR($W99="",$N99="",$N99=0),"",($W99-$N99)/$N99)</f>
        <v/>
      </c>
      <c r="BI99" s="33" t="str">
        <f aca="false">IF(OR($O99="",$X99=""),"",$O99-$X99)</f>
        <v/>
      </c>
      <c r="BJ99" s="33" t="str">
        <f aca="false">IF(OR($P99="",$Y99=""),"",$P99-$Y99)</f>
        <v/>
      </c>
      <c r="BK99" s="34" t="str">
        <f aca="false">IF(OR($AN99="",$AO99="",$AN99=0),"",$AO99/$AN99)</f>
        <v/>
      </c>
      <c r="BL99" s="34" t="str">
        <f aca="false">IF(OR($AU99="",$AV99="",$AU99=0),"",$AV99/$AU99)</f>
        <v/>
      </c>
      <c r="BM99" s="7" t="str">
        <f aca="false">IF($Z99="","",IF(AND($Z99="Y",$AB99&lt;&gt;"N",$AC99&lt;&gt;"Y"),"Y","N"))</f>
        <v/>
      </c>
      <c r="BN99" s="7" t="str">
        <f aca="false">IF($AH99="","",IF($Z99&lt;&gt;"Y","undefined",IF($AH99&lt;=1,"Y","N")))</f>
        <v/>
      </c>
      <c r="BO99" s="7" t="str">
        <f aca="false">IF($AH99="","",IF($Z99&lt;&gt;"Y","undefined",IF($AH99&lt;=10,"Y","N")))</f>
        <v/>
      </c>
      <c r="BP99" s="7" t="str">
        <f aca="false">IF($AH99="","",IF($Z99&lt;&gt;"Y","undefined",IF($AH99&lt;=100,"Y","N")))</f>
        <v/>
      </c>
    </row>
    <row r="100" customFormat="false" ht="15" hidden="false" customHeight="false" outlineLevel="0" collapsed="false">
      <c r="A100" s="7" t="str">
        <f aca="false">IF($B100="","",$B100&amp;"|"&amp;$C100&amp;"|"&amp;$F100)</f>
        <v/>
      </c>
      <c r="B100" s="5"/>
      <c r="C100" s="5"/>
      <c r="D100" s="5"/>
      <c r="E100" s="5"/>
      <c r="F100" s="5"/>
      <c r="G100" s="5"/>
      <c r="H100" s="5"/>
      <c r="I100" s="5"/>
      <c r="J100" s="20"/>
      <c r="K100" s="20"/>
      <c r="L100" s="28"/>
      <c r="M100" s="20"/>
      <c r="N100" s="28"/>
      <c r="O100" s="19"/>
      <c r="P100" s="19"/>
      <c r="Q100" s="5"/>
      <c r="R100" s="19"/>
      <c r="S100" s="5"/>
      <c r="T100" s="20"/>
      <c r="U100" s="20"/>
      <c r="V100" s="29"/>
      <c r="W100" s="28"/>
      <c r="X100" s="19"/>
      <c r="Y100" s="19"/>
      <c r="Z100" s="5"/>
      <c r="AA100" s="19"/>
      <c r="AB100" s="5"/>
      <c r="AC100" s="5"/>
      <c r="AD100" s="5"/>
      <c r="AE100" s="5"/>
      <c r="AF100" s="30"/>
      <c r="AG100" s="30"/>
      <c r="AH100" s="30"/>
      <c r="AI100" s="30"/>
      <c r="AJ100" s="30"/>
      <c r="AK100" s="30"/>
      <c r="AL100" s="28"/>
      <c r="AM100" s="5"/>
      <c r="AN100" s="19"/>
      <c r="AO100" s="19"/>
      <c r="AP100" s="5"/>
      <c r="AQ100" s="5"/>
      <c r="AR100" s="5"/>
      <c r="AS100" s="5"/>
      <c r="AT100" s="5"/>
      <c r="AU100" s="19"/>
      <c r="AV100" s="19"/>
      <c r="AW100" s="5"/>
      <c r="AX100" s="5"/>
      <c r="AY100" s="19"/>
      <c r="AZ100" s="30"/>
      <c r="BA100" s="5"/>
      <c r="BB100" s="31" t="str">
        <f aca="false">IF(OR($T100="",$M100=""),"",$T100-$M100)</f>
        <v/>
      </c>
      <c r="BC100" s="32" t="str">
        <f aca="false">IF(OR($T100="",$M100="",$M100=0),"",($T100-$M100)/$M100)</f>
        <v/>
      </c>
      <c r="BD100" s="31" t="str">
        <f aca="false">IF(OR($U100="",$M100=""),"",$U100-$M100)</f>
        <v/>
      </c>
      <c r="BE100" s="32" t="str">
        <f aca="false">IF(OR($U100="",$M100="",$M100=0),"",($U100-$M100)/$M100)</f>
        <v/>
      </c>
      <c r="BF100" s="32" t="str">
        <f aca="false">IF(OR($U100="",$J100="",$J100=0),"",($U100-$J100)/$J100)</f>
        <v/>
      </c>
      <c r="BG100" s="32" t="str">
        <f aca="false">IF(OR($M100="",$K100="",$K100=0),"",($M100-$K100)/$K100)</f>
        <v/>
      </c>
      <c r="BH100" s="32" t="str">
        <f aca="false">IF(OR($W100="",$N100="",$N100=0),"",($W100-$N100)/$N100)</f>
        <v/>
      </c>
      <c r="BI100" s="33" t="str">
        <f aca="false">IF(OR($O100="",$X100=""),"",$O100-$X100)</f>
        <v/>
      </c>
      <c r="BJ100" s="33" t="str">
        <f aca="false">IF(OR($P100="",$Y100=""),"",$P100-$Y100)</f>
        <v/>
      </c>
      <c r="BK100" s="34" t="str">
        <f aca="false">IF(OR($AN100="",$AO100="",$AN100=0),"",$AO100/$AN100)</f>
        <v/>
      </c>
      <c r="BL100" s="34" t="str">
        <f aca="false">IF(OR($AU100="",$AV100="",$AU100=0),"",$AV100/$AU100)</f>
        <v/>
      </c>
      <c r="BM100" s="7" t="str">
        <f aca="false">IF($Z100="","",IF(AND($Z100="Y",$AB100&lt;&gt;"N",$AC100&lt;&gt;"Y"),"Y","N"))</f>
        <v/>
      </c>
      <c r="BN100" s="7" t="str">
        <f aca="false">IF($AH100="","",IF($Z100&lt;&gt;"Y","undefined",IF($AH100&lt;=1,"Y","N")))</f>
        <v/>
      </c>
      <c r="BO100" s="7" t="str">
        <f aca="false">IF($AH100="","",IF($Z100&lt;&gt;"Y","undefined",IF($AH100&lt;=10,"Y","N")))</f>
        <v/>
      </c>
      <c r="BP100" s="7" t="str">
        <f aca="false">IF($AH100="","",IF($Z100&lt;&gt;"Y","undefined",IF($AH100&lt;=100,"Y","N")))</f>
        <v/>
      </c>
    </row>
    <row r="101" customFormat="false" ht="15" hidden="false" customHeight="false" outlineLevel="0" collapsed="false">
      <c r="A101" s="7" t="str">
        <f aca="false">IF($B101="","",$B101&amp;"|"&amp;$C101&amp;"|"&amp;$F101)</f>
        <v/>
      </c>
      <c r="B101" s="5"/>
      <c r="C101" s="5"/>
      <c r="D101" s="5"/>
      <c r="E101" s="5"/>
      <c r="F101" s="5"/>
      <c r="G101" s="5"/>
      <c r="H101" s="5"/>
      <c r="I101" s="5"/>
      <c r="J101" s="20"/>
      <c r="K101" s="20"/>
      <c r="L101" s="28"/>
      <c r="M101" s="20"/>
      <c r="N101" s="28"/>
      <c r="O101" s="19"/>
      <c r="P101" s="19"/>
      <c r="Q101" s="5"/>
      <c r="R101" s="19"/>
      <c r="S101" s="5"/>
      <c r="T101" s="20"/>
      <c r="U101" s="20"/>
      <c r="V101" s="29"/>
      <c r="W101" s="28"/>
      <c r="X101" s="19"/>
      <c r="Y101" s="19"/>
      <c r="Z101" s="5"/>
      <c r="AA101" s="19"/>
      <c r="AB101" s="5"/>
      <c r="AC101" s="5"/>
      <c r="AD101" s="5"/>
      <c r="AE101" s="5"/>
      <c r="AF101" s="30"/>
      <c r="AG101" s="30"/>
      <c r="AH101" s="30"/>
      <c r="AI101" s="30"/>
      <c r="AJ101" s="30"/>
      <c r="AK101" s="30"/>
      <c r="AL101" s="28"/>
      <c r="AM101" s="5"/>
      <c r="AN101" s="19"/>
      <c r="AO101" s="19"/>
      <c r="AP101" s="5"/>
      <c r="AQ101" s="5"/>
      <c r="AR101" s="5"/>
      <c r="AS101" s="5"/>
      <c r="AT101" s="5"/>
      <c r="AU101" s="19"/>
      <c r="AV101" s="19"/>
      <c r="AW101" s="5"/>
      <c r="AX101" s="5"/>
      <c r="AY101" s="19"/>
      <c r="AZ101" s="30"/>
      <c r="BA101" s="5"/>
      <c r="BB101" s="31" t="str">
        <f aca="false">IF(OR($T101="",$M101=""),"",$T101-$M101)</f>
        <v/>
      </c>
      <c r="BC101" s="32" t="str">
        <f aca="false">IF(OR($T101="",$M101="",$M101=0),"",($T101-$M101)/$M101)</f>
        <v/>
      </c>
      <c r="BD101" s="31" t="str">
        <f aca="false">IF(OR($U101="",$M101=""),"",$U101-$M101)</f>
        <v/>
      </c>
      <c r="BE101" s="32" t="str">
        <f aca="false">IF(OR($U101="",$M101="",$M101=0),"",($U101-$M101)/$M101)</f>
        <v/>
      </c>
      <c r="BF101" s="32" t="str">
        <f aca="false">IF(OR($U101="",$J101="",$J101=0),"",($U101-$J101)/$J101)</f>
        <v/>
      </c>
      <c r="BG101" s="32" t="str">
        <f aca="false">IF(OR($M101="",$K101="",$K101=0),"",($M101-$K101)/$K101)</f>
        <v/>
      </c>
      <c r="BH101" s="32" t="str">
        <f aca="false">IF(OR($W101="",$N101="",$N101=0),"",($W101-$N101)/$N101)</f>
        <v/>
      </c>
      <c r="BI101" s="33" t="str">
        <f aca="false">IF(OR($O101="",$X101=""),"",$O101-$X101)</f>
        <v/>
      </c>
      <c r="BJ101" s="33" t="str">
        <f aca="false">IF(OR($P101="",$Y101=""),"",$P101-$Y101)</f>
        <v/>
      </c>
      <c r="BK101" s="34" t="str">
        <f aca="false">IF(OR($AN101="",$AO101="",$AN101=0),"",$AO101/$AN101)</f>
        <v/>
      </c>
      <c r="BL101" s="34" t="str">
        <f aca="false">IF(OR($AU101="",$AV101="",$AU101=0),"",$AV101/$AU101)</f>
        <v/>
      </c>
      <c r="BM101" s="7" t="str">
        <f aca="false">IF($Z101="","",IF(AND($Z101="Y",$AB101&lt;&gt;"N",$AC101&lt;&gt;"Y"),"Y","N"))</f>
        <v/>
      </c>
      <c r="BN101" s="7" t="str">
        <f aca="false">IF($AH101="","",IF($Z101&lt;&gt;"Y","undefined",IF($AH101&lt;=1,"Y","N")))</f>
        <v/>
      </c>
      <c r="BO101" s="7" t="str">
        <f aca="false">IF($AH101="","",IF($Z101&lt;&gt;"Y","undefined",IF($AH101&lt;=10,"Y","N")))</f>
        <v/>
      </c>
      <c r="BP101" s="7" t="str">
        <f aca="false">IF($AH101="","",IF($Z101&lt;&gt;"Y","undefined",IF($AH101&lt;=100,"Y","N")))</f>
        <v/>
      </c>
    </row>
    <row r="102" customFormat="false" ht="15" hidden="false" customHeight="false" outlineLevel="0" collapsed="false">
      <c r="A102" s="7" t="str">
        <f aca="false">IF($B102="","",$B102&amp;"|"&amp;$C102&amp;"|"&amp;$F102)</f>
        <v/>
      </c>
      <c r="B102" s="5"/>
      <c r="C102" s="5"/>
      <c r="D102" s="5"/>
      <c r="E102" s="5"/>
      <c r="F102" s="5"/>
      <c r="G102" s="5"/>
      <c r="H102" s="5"/>
      <c r="I102" s="5"/>
      <c r="J102" s="20"/>
      <c r="K102" s="20"/>
      <c r="L102" s="28"/>
      <c r="M102" s="20"/>
      <c r="N102" s="28"/>
      <c r="O102" s="19"/>
      <c r="P102" s="19"/>
      <c r="Q102" s="5"/>
      <c r="R102" s="19"/>
      <c r="S102" s="5"/>
      <c r="T102" s="20"/>
      <c r="U102" s="20"/>
      <c r="V102" s="29"/>
      <c r="W102" s="28"/>
      <c r="X102" s="19"/>
      <c r="Y102" s="19"/>
      <c r="Z102" s="5"/>
      <c r="AA102" s="19"/>
      <c r="AB102" s="5"/>
      <c r="AC102" s="5"/>
      <c r="AD102" s="5"/>
      <c r="AE102" s="5"/>
      <c r="AF102" s="30"/>
      <c r="AG102" s="30"/>
      <c r="AH102" s="30"/>
      <c r="AI102" s="30"/>
      <c r="AJ102" s="30"/>
      <c r="AK102" s="30"/>
      <c r="AL102" s="28"/>
      <c r="AM102" s="5"/>
      <c r="AN102" s="19"/>
      <c r="AO102" s="19"/>
      <c r="AP102" s="5"/>
      <c r="AQ102" s="5"/>
      <c r="AR102" s="5"/>
      <c r="AS102" s="5"/>
      <c r="AT102" s="5"/>
      <c r="AU102" s="19"/>
      <c r="AV102" s="19"/>
      <c r="AW102" s="5"/>
      <c r="AX102" s="5"/>
      <c r="AY102" s="19"/>
      <c r="AZ102" s="30"/>
      <c r="BA102" s="5"/>
      <c r="BB102" s="31" t="str">
        <f aca="false">IF(OR($T102="",$M102=""),"",$T102-$M102)</f>
        <v/>
      </c>
      <c r="BC102" s="32" t="str">
        <f aca="false">IF(OR($T102="",$M102="",$M102=0),"",($T102-$M102)/$M102)</f>
        <v/>
      </c>
      <c r="BD102" s="31" t="str">
        <f aca="false">IF(OR($U102="",$M102=""),"",$U102-$M102)</f>
        <v/>
      </c>
      <c r="BE102" s="32" t="str">
        <f aca="false">IF(OR($U102="",$M102="",$M102=0),"",($U102-$M102)/$M102)</f>
        <v/>
      </c>
      <c r="BF102" s="32" t="str">
        <f aca="false">IF(OR($U102="",$J102="",$J102=0),"",($U102-$J102)/$J102)</f>
        <v/>
      </c>
      <c r="BG102" s="32" t="str">
        <f aca="false">IF(OR($M102="",$K102="",$K102=0),"",($M102-$K102)/$K102)</f>
        <v/>
      </c>
      <c r="BH102" s="32" t="str">
        <f aca="false">IF(OR($W102="",$N102="",$N102=0),"",($W102-$N102)/$N102)</f>
        <v/>
      </c>
      <c r="BI102" s="33" t="str">
        <f aca="false">IF(OR($O102="",$X102=""),"",$O102-$X102)</f>
        <v/>
      </c>
      <c r="BJ102" s="33" t="str">
        <f aca="false">IF(OR($P102="",$Y102=""),"",$P102-$Y102)</f>
        <v/>
      </c>
      <c r="BK102" s="34" t="str">
        <f aca="false">IF(OR($AN102="",$AO102="",$AN102=0),"",$AO102/$AN102)</f>
        <v/>
      </c>
      <c r="BL102" s="34" t="str">
        <f aca="false">IF(OR($AU102="",$AV102="",$AU102=0),"",$AV102/$AU102)</f>
        <v/>
      </c>
      <c r="BM102" s="7" t="str">
        <f aca="false">IF($Z102="","",IF(AND($Z102="Y",$AB102&lt;&gt;"N",$AC102&lt;&gt;"Y"),"Y","N"))</f>
        <v/>
      </c>
      <c r="BN102" s="7" t="str">
        <f aca="false">IF($AH102="","",IF($Z102&lt;&gt;"Y","undefined",IF($AH102&lt;=1,"Y","N")))</f>
        <v/>
      </c>
      <c r="BO102" s="7" t="str">
        <f aca="false">IF($AH102="","",IF($Z102&lt;&gt;"Y","undefined",IF($AH102&lt;=10,"Y","N")))</f>
        <v/>
      </c>
      <c r="BP102" s="7" t="str">
        <f aca="false">IF($AH102="","",IF($Z102&lt;&gt;"Y","undefined",IF($AH102&lt;=100,"Y","N")))</f>
        <v/>
      </c>
    </row>
    <row r="103" customFormat="false" ht="15" hidden="false" customHeight="false" outlineLevel="0" collapsed="false">
      <c r="A103" s="7" t="str">
        <f aca="false">IF($B103="","",$B103&amp;"|"&amp;$C103&amp;"|"&amp;$F103)</f>
        <v/>
      </c>
      <c r="B103" s="5"/>
      <c r="C103" s="5"/>
      <c r="D103" s="5"/>
      <c r="E103" s="5"/>
      <c r="F103" s="5"/>
      <c r="G103" s="5"/>
      <c r="H103" s="5"/>
      <c r="I103" s="5"/>
      <c r="J103" s="20"/>
      <c r="K103" s="20"/>
      <c r="L103" s="28"/>
      <c r="M103" s="20"/>
      <c r="N103" s="28"/>
      <c r="O103" s="19"/>
      <c r="P103" s="19"/>
      <c r="Q103" s="5"/>
      <c r="R103" s="19"/>
      <c r="S103" s="5"/>
      <c r="T103" s="20"/>
      <c r="U103" s="20"/>
      <c r="V103" s="29"/>
      <c r="W103" s="28"/>
      <c r="X103" s="19"/>
      <c r="Y103" s="19"/>
      <c r="Z103" s="5"/>
      <c r="AA103" s="19"/>
      <c r="AB103" s="5"/>
      <c r="AC103" s="5"/>
      <c r="AD103" s="5"/>
      <c r="AE103" s="5"/>
      <c r="AF103" s="30"/>
      <c r="AG103" s="30"/>
      <c r="AH103" s="30"/>
      <c r="AI103" s="30"/>
      <c r="AJ103" s="30"/>
      <c r="AK103" s="30"/>
      <c r="AL103" s="28"/>
      <c r="AM103" s="5"/>
      <c r="AN103" s="19"/>
      <c r="AO103" s="19"/>
      <c r="AP103" s="5"/>
      <c r="AQ103" s="5"/>
      <c r="AR103" s="5"/>
      <c r="AS103" s="5"/>
      <c r="AT103" s="5"/>
      <c r="AU103" s="19"/>
      <c r="AV103" s="19"/>
      <c r="AW103" s="5"/>
      <c r="AX103" s="5"/>
      <c r="AY103" s="19"/>
      <c r="AZ103" s="30"/>
      <c r="BA103" s="5"/>
      <c r="BB103" s="31" t="str">
        <f aca="false">IF(OR($T103="",$M103=""),"",$T103-$M103)</f>
        <v/>
      </c>
      <c r="BC103" s="32" t="str">
        <f aca="false">IF(OR($T103="",$M103="",$M103=0),"",($T103-$M103)/$M103)</f>
        <v/>
      </c>
      <c r="BD103" s="31" t="str">
        <f aca="false">IF(OR($U103="",$M103=""),"",$U103-$M103)</f>
        <v/>
      </c>
      <c r="BE103" s="32" t="str">
        <f aca="false">IF(OR($U103="",$M103="",$M103=0),"",($U103-$M103)/$M103)</f>
        <v/>
      </c>
      <c r="BF103" s="32" t="str">
        <f aca="false">IF(OR($U103="",$J103="",$J103=0),"",($U103-$J103)/$J103)</f>
        <v/>
      </c>
      <c r="BG103" s="32" t="str">
        <f aca="false">IF(OR($M103="",$K103="",$K103=0),"",($M103-$K103)/$K103)</f>
        <v/>
      </c>
      <c r="BH103" s="32" t="str">
        <f aca="false">IF(OR($W103="",$N103="",$N103=0),"",($W103-$N103)/$N103)</f>
        <v/>
      </c>
      <c r="BI103" s="33" t="str">
        <f aca="false">IF(OR($O103="",$X103=""),"",$O103-$X103)</f>
        <v/>
      </c>
      <c r="BJ103" s="33" t="str">
        <f aca="false">IF(OR($P103="",$Y103=""),"",$P103-$Y103)</f>
        <v/>
      </c>
      <c r="BK103" s="34" t="str">
        <f aca="false">IF(OR($AN103="",$AO103="",$AN103=0),"",$AO103/$AN103)</f>
        <v/>
      </c>
      <c r="BL103" s="34" t="str">
        <f aca="false">IF(OR($AU103="",$AV103="",$AU103=0),"",$AV103/$AU103)</f>
        <v/>
      </c>
      <c r="BM103" s="7" t="str">
        <f aca="false">IF($Z103="","",IF(AND($Z103="Y",$AB103&lt;&gt;"N",$AC103&lt;&gt;"Y"),"Y","N"))</f>
        <v/>
      </c>
      <c r="BN103" s="7" t="str">
        <f aca="false">IF($AH103="","",IF($Z103&lt;&gt;"Y","undefined",IF($AH103&lt;=1,"Y","N")))</f>
        <v/>
      </c>
      <c r="BO103" s="7" t="str">
        <f aca="false">IF($AH103="","",IF($Z103&lt;&gt;"Y","undefined",IF($AH103&lt;=10,"Y","N")))</f>
        <v/>
      </c>
      <c r="BP103" s="7" t="str">
        <f aca="false">IF($AH103="","",IF($Z103&lt;&gt;"Y","undefined",IF($AH103&lt;=100,"Y","N")))</f>
        <v/>
      </c>
    </row>
    <row r="104" customFormat="false" ht="15" hidden="false" customHeight="false" outlineLevel="0" collapsed="false">
      <c r="A104" s="7" t="str">
        <f aca="false">IF($B104="","",$B104&amp;"|"&amp;$C104&amp;"|"&amp;$F104)</f>
        <v/>
      </c>
      <c r="B104" s="5"/>
      <c r="C104" s="5"/>
      <c r="D104" s="5"/>
      <c r="E104" s="5"/>
      <c r="F104" s="5"/>
      <c r="G104" s="5"/>
      <c r="H104" s="5"/>
      <c r="I104" s="5"/>
      <c r="J104" s="20"/>
      <c r="K104" s="20"/>
      <c r="L104" s="28"/>
      <c r="M104" s="20"/>
      <c r="N104" s="28"/>
      <c r="O104" s="19"/>
      <c r="P104" s="19"/>
      <c r="Q104" s="5"/>
      <c r="R104" s="19"/>
      <c r="S104" s="5"/>
      <c r="T104" s="20"/>
      <c r="U104" s="20"/>
      <c r="V104" s="29"/>
      <c r="W104" s="28"/>
      <c r="X104" s="19"/>
      <c r="Y104" s="19"/>
      <c r="Z104" s="5"/>
      <c r="AA104" s="19"/>
      <c r="AB104" s="5"/>
      <c r="AC104" s="5"/>
      <c r="AD104" s="5"/>
      <c r="AE104" s="5"/>
      <c r="AF104" s="30"/>
      <c r="AG104" s="30"/>
      <c r="AH104" s="30"/>
      <c r="AI104" s="30"/>
      <c r="AJ104" s="30"/>
      <c r="AK104" s="30"/>
      <c r="AL104" s="28"/>
      <c r="AM104" s="5"/>
      <c r="AN104" s="19"/>
      <c r="AO104" s="19"/>
      <c r="AP104" s="5"/>
      <c r="AQ104" s="5"/>
      <c r="AR104" s="5"/>
      <c r="AS104" s="5"/>
      <c r="AT104" s="5"/>
      <c r="AU104" s="19"/>
      <c r="AV104" s="19"/>
      <c r="AW104" s="5"/>
      <c r="AX104" s="5"/>
      <c r="AY104" s="19"/>
      <c r="AZ104" s="30"/>
      <c r="BA104" s="5"/>
      <c r="BB104" s="31" t="str">
        <f aca="false">IF(OR($T104="",$M104=""),"",$T104-$M104)</f>
        <v/>
      </c>
      <c r="BC104" s="32" t="str">
        <f aca="false">IF(OR($T104="",$M104="",$M104=0),"",($T104-$M104)/$M104)</f>
        <v/>
      </c>
      <c r="BD104" s="31" t="str">
        <f aca="false">IF(OR($U104="",$M104=""),"",$U104-$M104)</f>
        <v/>
      </c>
      <c r="BE104" s="32" t="str">
        <f aca="false">IF(OR($U104="",$M104="",$M104=0),"",($U104-$M104)/$M104)</f>
        <v/>
      </c>
      <c r="BF104" s="32" t="str">
        <f aca="false">IF(OR($U104="",$J104="",$J104=0),"",($U104-$J104)/$J104)</f>
        <v/>
      </c>
      <c r="BG104" s="32" t="str">
        <f aca="false">IF(OR($M104="",$K104="",$K104=0),"",($M104-$K104)/$K104)</f>
        <v/>
      </c>
      <c r="BH104" s="32" t="str">
        <f aca="false">IF(OR($W104="",$N104="",$N104=0),"",($W104-$N104)/$N104)</f>
        <v/>
      </c>
      <c r="BI104" s="33" t="str">
        <f aca="false">IF(OR($O104="",$X104=""),"",$O104-$X104)</f>
        <v/>
      </c>
      <c r="BJ104" s="33" t="str">
        <f aca="false">IF(OR($P104="",$Y104=""),"",$P104-$Y104)</f>
        <v/>
      </c>
      <c r="BK104" s="34" t="str">
        <f aca="false">IF(OR($AN104="",$AO104="",$AN104=0),"",$AO104/$AN104)</f>
        <v/>
      </c>
      <c r="BL104" s="34" t="str">
        <f aca="false">IF(OR($AU104="",$AV104="",$AU104=0),"",$AV104/$AU104)</f>
        <v/>
      </c>
      <c r="BM104" s="7" t="str">
        <f aca="false">IF($Z104="","",IF(AND($Z104="Y",$AB104&lt;&gt;"N",$AC104&lt;&gt;"Y"),"Y","N"))</f>
        <v/>
      </c>
      <c r="BN104" s="7" t="str">
        <f aca="false">IF($AH104="","",IF($Z104&lt;&gt;"Y","undefined",IF($AH104&lt;=1,"Y","N")))</f>
        <v/>
      </c>
      <c r="BO104" s="7" t="str">
        <f aca="false">IF($AH104="","",IF($Z104&lt;&gt;"Y","undefined",IF($AH104&lt;=10,"Y","N")))</f>
        <v/>
      </c>
      <c r="BP104" s="7" t="str">
        <f aca="false">IF($AH104="","",IF($Z104&lt;&gt;"Y","undefined",IF($AH104&lt;=100,"Y","N")))</f>
        <v/>
      </c>
    </row>
    <row r="105" customFormat="false" ht="15" hidden="false" customHeight="false" outlineLevel="0" collapsed="false">
      <c r="A105" s="7" t="str">
        <f aca="false">IF($B105="","",$B105&amp;"|"&amp;$C105&amp;"|"&amp;$F105)</f>
        <v/>
      </c>
      <c r="B105" s="5"/>
      <c r="C105" s="5"/>
      <c r="D105" s="5"/>
      <c r="E105" s="5"/>
      <c r="F105" s="5"/>
      <c r="G105" s="5"/>
      <c r="H105" s="5"/>
      <c r="I105" s="5"/>
      <c r="J105" s="20"/>
      <c r="K105" s="20"/>
      <c r="L105" s="28"/>
      <c r="M105" s="20"/>
      <c r="N105" s="28"/>
      <c r="O105" s="19"/>
      <c r="P105" s="19"/>
      <c r="Q105" s="5"/>
      <c r="R105" s="19"/>
      <c r="S105" s="5"/>
      <c r="T105" s="20"/>
      <c r="U105" s="20"/>
      <c r="V105" s="29"/>
      <c r="W105" s="28"/>
      <c r="X105" s="19"/>
      <c r="Y105" s="19"/>
      <c r="Z105" s="5"/>
      <c r="AA105" s="19"/>
      <c r="AB105" s="5"/>
      <c r="AC105" s="5"/>
      <c r="AD105" s="5"/>
      <c r="AE105" s="5"/>
      <c r="AF105" s="30"/>
      <c r="AG105" s="30"/>
      <c r="AH105" s="30"/>
      <c r="AI105" s="30"/>
      <c r="AJ105" s="30"/>
      <c r="AK105" s="30"/>
      <c r="AL105" s="28"/>
      <c r="AM105" s="5"/>
      <c r="AN105" s="19"/>
      <c r="AO105" s="19"/>
      <c r="AP105" s="5"/>
      <c r="AQ105" s="5"/>
      <c r="AR105" s="5"/>
      <c r="AS105" s="5"/>
      <c r="AT105" s="5"/>
      <c r="AU105" s="19"/>
      <c r="AV105" s="19"/>
      <c r="AW105" s="5"/>
      <c r="AX105" s="5"/>
      <c r="AY105" s="19"/>
      <c r="AZ105" s="30"/>
      <c r="BA105" s="5"/>
      <c r="BB105" s="31" t="str">
        <f aca="false">IF(OR($T105="",$M105=""),"",$T105-$M105)</f>
        <v/>
      </c>
      <c r="BC105" s="32" t="str">
        <f aca="false">IF(OR($T105="",$M105="",$M105=0),"",($T105-$M105)/$M105)</f>
        <v/>
      </c>
      <c r="BD105" s="31" t="str">
        <f aca="false">IF(OR($U105="",$M105=""),"",$U105-$M105)</f>
        <v/>
      </c>
      <c r="BE105" s="32" t="str">
        <f aca="false">IF(OR($U105="",$M105="",$M105=0),"",($U105-$M105)/$M105)</f>
        <v/>
      </c>
      <c r="BF105" s="32" t="str">
        <f aca="false">IF(OR($U105="",$J105="",$J105=0),"",($U105-$J105)/$J105)</f>
        <v/>
      </c>
      <c r="BG105" s="32" t="str">
        <f aca="false">IF(OR($M105="",$K105="",$K105=0),"",($M105-$K105)/$K105)</f>
        <v/>
      </c>
      <c r="BH105" s="32" t="str">
        <f aca="false">IF(OR($W105="",$N105="",$N105=0),"",($W105-$N105)/$N105)</f>
        <v/>
      </c>
      <c r="BI105" s="33" t="str">
        <f aca="false">IF(OR($O105="",$X105=""),"",$O105-$X105)</f>
        <v/>
      </c>
      <c r="BJ105" s="33" t="str">
        <f aca="false">IF(OR($P105="",$Y105=""),"",$P105-$Y105)</f>
        <v/>
      </c>
      <c r="BK105" s="34" t="str">
        <f aca="false">IF(OR($AN105="",$AO105="",$AN105=0),"",$AO105/$AN105)</f>
        <v/>
      </c>
      <c r="BL105" s="34" t="str">
        <f aca="false">IF(OR($AU105="",$AV105="",$AU105=0),"",$AV105/$AU105)</f>
        <v/>
      </c>
      <c r="BM105" s="7" t="str">
        <f aca="false">IF($Z105="","",IF(AND($Z105="Y",$AB105&lt;&gt;"N",$AC105&lt;&gt;"Y"),"Y","N"))</f>
        <v/>
      </c>
      <c r="BN105" s="7" t="str">
        <f aca="false">IF($AH105="","",IF($Z105&lt;&gt;"Y","undefined",IF($AH105&lt;=1,"Y","N")))</f>
        <v/>
      </c>
      <c r="BO105" s="7" t="str">
        <f aca="false">IF($AH105="","",IF($Z105&lt;&gt;"Y","undefined",IF($AH105&lt;=10,"Y","N")))</f>
        <v/>
      </c>
      <c r="BP105" s="7" t="str">
        <f aca="false">IF($AH105="","",IF($Z105&lt;&gt;"Y","undefined",IF($AH105&lt;=100,"Y","N")))</f>
        <v/>
      </c>
    </row>
    <row r="106" customFormat="false" ht="15" hidden="false" customHeight="false" outlineLevel="0" collapsed="false">
      <c r="A106" s="7" t="str">
        <f aca="false">IF($B106="","",$B106&amp;"|"&amp;$C106&amp;"|"&amp;$F106)</f>
        <v/>
      </c>
      <c r="B106" s="5"/>
      <c r="C106" s="5"/>
      <c r="D106" s="5"/>
      <c r="E106" s="5"/>
      <c r="F106" s="5"/>
      <c r="G106" s="5"/>
      <c r="H106" s="5"/>
      <c r="I106" s="5"/>
      <c r="J106" s="20"/>
      <c r="K106" s="20"/>
      <c r="L106" s="28"/>
      <c r="M106" s="20"/>
      <c r="N106" s="28"/>
      <c r="O106" s="19"/>
      <c r="P106" s="19"/>
      <c r="Q106" s="5"/>
      <c r="R106" s="19"/>
      <c r="S106" s="5"/>
      <c r="T106" s="20"/>
      <c r="U106" s="20"/>
      <c r="V106" s="29"/>
      <c r="W106" s="28"/>
      <c r="X106" s="19"/>
      <c r="Y106" s="19"/>
      <c r="Z106" s="5"/>
      <c r="AA106" s="19"/>
      <c r="AB106" s="5"/>
      <c r="AC106" s="5"/>
      <c r="AD106" s="5"/>
      <c r="AE106" s="5"/>
      <c r="AF106" s="30"/>
      <c r="AG106" s="30"/>
      <c r="AH106" s="30"/>
      <c r="AI106" s="30"/>
      <c r="AJ106" s="30"/>
      <c r="AK106" s="30"/>
      <c r="AL106" s="28"/>
      <c r="AM106" s="5"/>
      <c r="AN106" s="19"/>
      <c r="AO106" s="19"/>
      <c r="AP106" s="5"/>
      <c r="AQ106" s="5"/>
      <c r="AR106" s="5"/>
      <c r="AS106" s="5"/>
      <c r="AT106" s="5"/>
      <c r="AU106" s="19"/>
      <c r="AV106" s="19"/>
      <c r="AW106" s="5"/>
      <c r="AX106" s="5"/>
      <c r="AY106" s="19"/>
      <c r="AZ106" s="30"/>
      <c r="BA106" s="5"/>
      <c r="BB106" s="31" t="str">
        <f aca="false">IF(OR($T106="",$M106=""),"",$T106-$M106)</f>
        <v/>
      </c>
      <c r="BC106" s="32" t="str">
        <f aca="false">IF(OR($T106="",$M106="",$M106=0),"",($T106-$M106)/$M106)</f>
        <v/>
      </c>
      <c r="BD106" s="31" t="str">
        <f aca="false">IF(OR($U106="",$M106=""),"",$U106-$M106)</f>
        <v/>
      </c>
      <c r="BE106" s="32" t="str">
        <f aca="false">IF(OR($U106="",$M106="",$M106=0),"",($U106-$M106)/$M106)</f>
        <v/>
      </c>
      <c r="BF106" s="32" t="str">
        <f aca="false">IF(OR($U106="",$J106="",$J106=0),"",($U106-$J106)/$J106)</f>
        <v/>
      </c>
      <c r="BG106" s="32" t="str">
        <f aca="false">IF(OR($M106="",$K106="",$K106=0),"",($M106-$K106)/$K106)</f>
        <v/>
      </c>
      <c r="BH106" s="32" t="str">
        <f aca="false">IF(OR($W106="",$N106="",$N106=0),"",($W106-$N106)/$N106)</f>
        <v/>
      </c>
      <c r="BI106" s="33" t="str">
        <f aca="false">IF(OR($O106="",$X106=""),"",$O106-$X106)</f>
        <v/>
      </c>
      <c r="BJ106" s="33" t="str">
        <f aca="false">IF(OR($P106="",$Y106=""),"",$P106-$Y106)</f>
        <v/>
      </c>
      <c r="BK106" s="34" t="str">
        <f aca="false">IF(OR($AN106="",$AO106="",$AN106=0),"",$AO106/$AN106)</f>
        <v/>
      </c>
      <c r="BL106" s="34" t="str">
        <f aca="false">IF(OR($AU106="",$AV106="",$AU106=0),"",$AV106/$AU106)</f>
        <v/>
      </c>
      <c r="BM106" s="7" t="str">
        <f aca="false">IF($Z106="","",IF(AND($Z106="Y",$AB106&lt;&gt;"N",$AC106&lt;&gt;"Y"),"Y","N"))</f>
        <v/>
      </c>
      <c r="BN106" s="7" t="str">
        <f aca="false">IF($AH106="","",IF($Z106&lt;&gt;"Y","undefined",IF($AH106&lt;=1,"Y","N")))</f>
        <v/>
      </c>
      <c r="BO106" s="7" t="str">
        <f aca="false">IF($AH106="","",IF($Z106&lt;&gt;"Y","undefined",IF($AH106&lt;=10,"Y","N")))</f>
        <v/>
      </c>
      <c r="BP106" s="7" t="str">
        <f aca="false">IF($AH106="","",IF($Z106&lt;&gt;"Y","undefined",IF($AH106&lt;=100,"Y","N")))</f>
        <v/>
      </c>
    </row>
    <row r="107" customFormat="false" ht="15" hidden="false" customHeight="false" outlineLevel="0" collapsed="false">
      <c r="A107" s="7" t="str">
        <f aca="false">IF($B107="","",$B107&amp;"|"&amp;$C107&amp;"|"&amp;$F107)</f>
        <v/>
      </c>
      <c r="B107" s="5"/>
      <c r="C107" s="5"/>
      <c r="D107" s="5"/>
      <c r="E107" s="5"/>
      <c r="F107" s="5"/>
      <c r="G107" s="5"/>
      <c r="H107" s="5"/>
      <c r="I107" s="5"/>
      <c r="J107" s="20"/>
      <c r="K107" s="20"/>
      <c r="L107" s="28"/>
      <c r="M107" s="20"/>
      <c r="N107" s="28"/>
      <c r="O107" s="19"/>
      <c r="P107" s="19"/>
      <c r="Q107" s="5"/>
      <c r="R107" s="19"/>
      <c r="S107" s="5"/>
      <c r="T107" s="20"/>
      <c r="U107" s="20"/>
      <c r="V107" s="29"/>
      <c r="W107" s="28"/>
      <c r="X107" s="19"/>
      <c r="Y107" s="19"/>
      <c r="Z107" s="5"/>
      <c r="AA107" s="19"/>
      <c r="AB107" s="5"/>
      <c r="AC107" s="5"/>
      <c r="AD107" s="5"/>
      <c r="AE107" s="5"/>
      <c r="AF107" s="30"/>
      <c r="AG107" s="30"/>
      <c r="AH107" s="30"/>
      <c r="AI107" s="30"/>
      <c r="AJ107" s="30"/>
      <c r="AK107" s="30"/>
      <c r="AL107" s="28"/>
      <c r="AM107" s="5"/>
      <c r="AN107" s="19"/>
      <c r="AO107" s="19"/>
      <c r="AP107" s="5"/>
      <c r="AQ107" s="5"/>
      <c r="AR107" s="5"/>
      <c r="AS107" s="5"/>
      <c r="AT107" s="5"/>
      <c r="AU107" s="19"/>
      <c r="AV107" s="19"/>
      <c r="AW107" s="5"/>
      <c r="AX107" s="5"/>
      <c r="AY107" s="19"/>
      <c r="AZ107" s="30"/>
      <c r="BA107" s="5"/>
      <c r="BB107" s="31" t="str">
        <f aca="false">IF(OR($T107="",$M107=""),"",$T107-$M107)</f>
        <v/>
      </c>
      <c r="BC107" s="32" t="str">
        <f aca="false">IF(OR($T107="",$M107="",$M107=0),"",($T107-$M107)/$M107)</f>
        <v/>
      </c>
      <c r="BD107" s="31" t="str">
        <f aca="false">IF(OR($U107="",$M107=""),"",$U107-$M107)</f>
        <v/>
      </c>
      <c r="BE107" s="32" t="str">
        <f aca="false">IF(OR($U107="",$M107="",$M107=0),"",($U107-$M107)/$M107)</f>
        <v/>
      </c>
      <c r="BF107" s="32" t="str">
        <f aca="false">IF(OR($U107="",$J107="",$J107=0),"",($U107-$J107)/$J107)</f>
        <v/>
      </c>
      <c r="BG107" s="32" t="str">
        <f aca="false">IF(OR($M107="",$K107="",$K107=0),"",($M107-$K107)/$K107)</f>
        <v/>
      </c>
      <c r="BH107" s="32" t="str">
        <f aca="false">IF(OR($W107="",$N107="",$N107=0),"",($W107-$N107)/$N107)</f>
        <v/>
      </c>
      <c r="BI107" s="33" t="str">
        <f aca="false">IF(OR($O107="",$X107=""),"",$O107-$X107)</f>
        <v/>
      </c>
      <c r="BJ107" s="33" t="str">
        <f aca="false">IF(OR($P107="",$Y107=""),"",$P107-$Y107)</f>
        <v/>
      </c>
      <c r="BK107" s="34" t="str">
        <f aca="false">IF(OR($AN107="",$AO107="",$AN107=0),"",$AO107/$AN107)</f>
        <v/>
      </c>
      <c r="BL107" s="34" t="str">
        <f aca="false">IF(OR($AU107="",$AV107="",$AU107=0),"",$AV107/$AU107)</f>
        <v/>
      </c>
      <c r="BM107" s="7" t="str">
        <f aca="false">IF($Z107="","",IF(AND($Z107="Y",$AB107&lt;&gt;"N",$AC107&lt;&gt;"Y"),"Y","N"))</f>
        <v/>
      </c>
      <c r="BN107" s="7" t="str">
        <f aca="false">IF($AH107="","",IF($Z107&lt;&gt;"Y","undefined",IF($AH107&lt;=1,"Y","N")))</f>
        <v/>
      </c>
      <c r="BO107" s="7" t="str">
        <f aca="false">IF($AH107="","",IF($Z107&lt;&gt;"Y","undefined",IF($AH107&lt;=10,"Y","N")))</f>
        <v/>
      </c>
      <c r="BP107" s="7" t="str">
        <f aca="false">IF($AH107="","",IF($Z107&lt;&gt;"Y","undefined",IF($AH107&lt;=100,"Y","N")))</f>
        <v/>
      </c>
    </row>
    <row r="108" customFormat="false" ht="15" hidden="false" customHeight="false" outlineLevel="0" collapsed="false">
      <c r="A108" s="7" t="str">
        <f aca="false">IF($B108="","",$B108&amp;"|"&amp;$C108&amp;"|"&amp;$F108)</f>
        <v/>
      </c>
      <c r="B108" s="5"/>
      <c r="C108" s="5"/>
      <c r="D108" s="5"/>
      <c r="E108" s="5"/>
      <c r="F108" s="5"/>
      <c r="G108" s="5"/>
      <c r="H108" s="5"/>
      <c r="I108" s="5"/>
      <c r="J108" s="20"/>
      <c r="K108" s="20"/>
      <c r="L108" s="28"/>
      <c r="M108" s="20"/>
      <c r="N108" s="28"/>
      <c r="O108" s="19"/>
      <c r="P108" s="19"/>
      <c r="Q108" s="5"/>
      <c r="R108" s="19"/>
      <c r="S108" s="5"/>
      <c r="T108" s="20"/>
      <c r="U108" s="20"/>
      <c r="V108" s="29"/>
      <c r="W108" s="28"/>
      <c r="X108" s="19"/>
      <c r="Y108" s="19"/>
      <c r="Z108" s="5"/>
      <c r="AA108" s="19"/>
      <c r="AB108" s="5"/>
      <c r="AC108" s="5"/>
      <c r="AD108" s="5"/>
      <c r="AE108" s="5"/>
      <c r="AF108" s="30"/>
      <c r="AG108" s="30"/>
      <c r="AH108" s="30"/>
      <c r="AI108" s="30"/>
      <c r="AJ108" s="30"/>
      <c r="AK108" s="30"/>
      <c r="AL108" s="28"/>
      <c r="AM108" s="5"/>
      <c r="AN108" s="19"/>
      <c r="AO108" s="19"/>
      <c r="AP108" s="5"/>
      <c r="AQ108" s="5"/>
      <c r="AR108" s="5"/>
      <c r="AS108" s="5"/>
      <c r="AT108" s="5"/>
      <c r="AU108" s="19"/>
      <c r="AV108" s="19"/>
      <c r="AW108" s="5"/>
      <c r="AX108" s="5"/>
      <c r="AY108" s="19"/>
      <c r="AZ108" s="30"/>
      <c r="BA108" s="5"/>
      <c r="BB108" s="31" t="str">
        <f aca="false">IF(OR($T108="",$M108=""),"",$T108-$M108)</f>
        <v/>
      </c>
      <c r="BC108" s="32" t="str">
        <f aca="false">IF(OR($T108="",$M108="",$M108=0),"",($T108-$M108)/$M108)</f>
        <v/>
      </c>
      <c r="BD108" s="31" t="str">
        <f aca="false">IF(OR($U108="",$M108=""),"",$U108-$M108)</f>
        <v/>
      </c>
      <c r="BE108" s="32" t="str">
        <f aca="false">IF(OR($U108="",$M108="",$M108=0),"",($U108-$M108)/$M108)</f>
        <v/>
      </c>
      <c r="BF108" s="32" t="str">
        <f aca="false">IF(OR($U108="",$J108="",$J108=0),"",($U108-$J108)/$J108)</f>
        <v/>
      </c>
      <c r="BG108" s="32" t="str">
        <f aca="false">IF(OR($M108="",$K108="",$K108=0),"",($M108-$K108)/$K108)</f>
        <v/>
      </c>
      <c r="BH108" s="32" t="str">
        <f aca="false">IF(OR($W108="",$N108="",$N108=0),"",($W108-$N108)/$N108)</f>
        <v/>
      </c>
      <c r="BI108" s="33" t="str">
        <f aca="false">IF(OR($O108="",$X108=""),"",$O108-$X108)</f>
        <v/>
      </c>
      <c r="BJ108" s="33" t="str">
        <f aca="false">IF(OR($P108="",$Y108=""),"",$P108-$Y108)</f>
        <v/>
      </c>
      <c r="BK108" s="34" t="str">
        <f aca="false">IF(OR($AN108="",$AO108="",$AN108=0),"",$AO108/$AN108)</f>
        <v/>
      </c>
      <c r="BL108" s="34" t="str">
        <f aca="false">IF(OR($AU108="",$AV108="",$AU108=0),"",$AV108/$AU108)</f>
        <v/>
      </c>
      <c r="BM108" s="7" t="str">
        <f aca="false">IF($Z108="","",IF(AND($Z108="Y",$AB108&lt;&gt;"N",$AC108&lt;&gt;"Y"),"Y","N"))</f>
        <v/>
      </c>
      <c r="BN108" s="7" t="str">
        <f aca="false">IF($AH108="","",IF($Z108&lt;&gt;"Y","undefined",IF($AH108&lt;=1,"Y","N")))</f>
        <v/>
      </c>
      <c r="BO108" s="7" t="str">
        <f aca="false">IF($AH108="","",IF($Z108&lt;&gt;"Y","undefined",IF($AH108&lt;=10,"Y","N")))</f>
        <v/>
      </c>
      <c r="BP108" s="7" t="str">
        <f aca="false">IF($AH108="","",IF($Z108&lt;&gt;"Y","undefined",IF($AH108&lt;=100,"Y","N")))</f>
        <v/>
      </c>
    </row>
    <row r="109" customFormat="false" ht="15" hidden="false" customHeight="false" outlineLevel="0" collapsed="false">
      <c r="A109" s="7" t="str">
        <f aca="false">IF($B109="","",$B109&amp;"|"&amp;$C109&amp;"|"&amp;$F109)</f>
        <v/>
      </c>
      <c r="B109" s="5"/>
      <c r="C109" s="5"/>
      <c r="D109" s="5"/>
      <c r="E109" s="5"/>
      <c r="F109" s="5"/>
      <c r="G109" s="5"/>
      <c r="H109" s="5"/>
      <c r="I109" s="5"/>
      <c r="J109" s="20"/>
      <c r="K109" s="20"/>
      <c r="L109" s="28"/>
      <c r="M109" s="20"/>
      <c r="N109" s="28"/>
      <c r="O109" s="19"/>
      <c r="P109" s="19"/>
      <c r="Q109" s="5"/>
      <c r="R109" s="19"/>
      <c r="S109" s="5"/>
      <c r="T109" s="20"/>
      <c r="U109" s="20"/>
      <c r="V109" s="29"/>
      <c r="W109" s="28"/>
      <c r="X109" s="19"/>
      <c r="Y109" s="19"/>
      <c r="Z109" s="5"/>
      <c r="AA109" s="19"/>
      <c r="AB109" s="5"/>
      <c r="AC109" s="5"/>
      <c r="AD109" s="5"/>
      <c r="AE109" s="5"/>
      <c r="AF109" s="30"/>
      <c r="AG109" s="30"/>
      <c r="AH109" s="30"/>
      <c r="AI109" s="30"/>
      <c r="AJ109" s="30"/>
      <c r="AK109" s="30"/>
      <c r="AL109" s="28"/>
      <c r="AM109" s="5"/>
      <c r="AN109" s="19"/>
      <c r="AO109" s="19"/>
      <c r="AP109" s="5"/>
      <c r="AQ109" s="5"/>
      <c r="AR109" s="5"/>
      <c r="AS109" s="5"/>
      <c r="AT109" s="5"/>
      <c r="AU109" s="19"/>
      <c r="AV109" s="19"/>
      <c r="AW109" s="5"/>
      <c r="AX109" s="5"/>
      <c r="AY109" s="19"/>
      <c r="AZ109" s="30"/>
      <c r="BA109" s="5"/>
      <c r="BB109" s="31" t="str">
        <f aca="false">IF(OR($T109="",$M109=""),"",$T109-$M109)</f>
        <v/>
      </c>
      <c r="BC109" s="32" t="str">
        <f aca="false">IF(OR($T109="",$M109="",$M109=0),"",($T109-$M109)/$M109)</f>
        <v/>
      </c>
      <c r="BD109" s="31" t="str">
        <f aca="false">IF(OR($U109="",$M109=""),"",$U109-$M109)</f>
        <v/>
      </c>
      <c r="BE109" s="32" t="str">
        <f aca="false">IF(OR($U109="",$M109="",$M109=0),"",($U109-$M109)/$M109)</f>
        <v/>
      </c>
      <c r="BF109" s="32" t="str">
        <f aca="false">IF(OR($U109="",$J109="",$J109=0),"",($U109-$J109)/$J109)</f>
        <v/>
      </c>
      <c r="BG109" s="32" t="str">
        <f aca="false">IF(OR($M109="",$K109="",$K109=0),"",($M109-$K109)/$K109)</f>
        <v/>
      </c>
      <c r="BH109" s="32" t="str">
        <f aca="false">IF(OR($W109="",$N109="",$N109=0),"",($W109-$N109)/$N109)</f>
        <v/>
      </c>
      <c r="BI109" s="33" t="str">
        <f aca="false">IF(OR($O109="",$X109=""),"",$O109-$X109)</f>
        <v/>
      </c>
      <c r="BJ109" s="33" t="str">
        <f aca="false">IF(OR($P109="",$Y109=""),"",$P109-$Y109)</f>
        <v/>
      </c>
      <c r="BK109" s="34" t="str">
        <f aca="false">IF(OR($AN109="",$AO109="",$AN109=0),"",$AO109/$AN109)</f>
        <v/>
      </c>
      <c r="BL109" s="34" t="str">
        <f aca="false">IF(OR($AU109="",$AV109="",$AU109=0),"",$AV109/$AU109)</f>
        <v/>
      </c>
      <c r="BM109" s="7" t="str">
        <f aca="false">IF($Z109="","",IF(AND($Z109="Y",$AB109&lt;&gt;"N",$AC109&lt;&gt;"Y"),"Y","N"))</f>
        <v/>
      </c>
      <c r="BN109" s="7" t="str">
        <f aca="false">IF($AH109="","",IF($Z109&lt;&gt;"Y","undefined",IF($AH109&lt;=1,"Y","N")))</f>
        <v/>
      </c>
      <c r="BO109" s="7" t="str">
        <f aca="false">IF($AH109="","",IF($Z109&lt;&gt;"Y","undefined",IF($AH109&lt;=10,"Y","N")))</f>
        <v/>
      </c>
      <c r="BP109" s="7" t="str">
        <f aca="false">IF($AH109="","",IF($Z109&lt;&gt;"Y","undefined",IF($AH109&lt;=100,"Y","N")))</f>
        <v/>
      </c>
    </row>
    <row r="110" customFormat="false" ht="15" hidden="false" customHeight="false" outlineLevel="0" collapsed="false">
      <c r="A110" s="7" t="str">
        <f aca="false">IF($B110="","",$B110&amp;"|"&amp;$C110&amp;"|"&amp;$F110)</f>
        <v/>
      </c>
      <c r="B110" s="5"/>
      <c r="C110" s="5"/>
      <c r="D110" s="5"/>
      <c r="E110" s="5"/>
      <c r="F110" s="5"/>
      <c r="G110" s="5"/>
      <c r="H110" s="5"/>
      <c r="I110" s="5"/>
      <c r="J110" s="20"/>
      <c r="K110" s="20"/>
      <c r="L110" s="28"/>
      <c r="M110" s="20"/>
      <c r="N110" s="28"/>
      <c r="O110" s="19"/>
      <c r="P110" s="19"/>
      <c r="Q110" s="5"/>
      <c r="R110" s="19"/>
      <c r="S110" s="5"/>
      <c r="T110" s="20"/>
      <c r="U110" s="20"/>
      <c r="V110" s="29"/>
      <c r="W110" s="28"/>
      <c r="X110" s="19"/>
      <c r="Y110" s="19"/>
      <c r="Z110" s="5"/>
      <c r="AA110" s="19"/>
      <c r="AB110" s="5"/>
      <c r="AC110" s="5"/>
      <c r="AD110" s="5"/>
      <c r="AE110" s="5"/>
      <c r="AF110" s="30"/>
      <c r="AG110" s="30"/>
      <c r="AH110" s="30"/>
      <c r="AI110" s="30"/>
      <c r="AJ110" s="30"/>
      <c r="AK110" s="30"/>
      <c r="AL110" s="28"/>
      <c r="AM110" s="5"/>
      <c r="AN110" s="19"/>
      <c r="AO110" s="19"/>
      <c r="AP110" s="5"/>
      <c r="AQ110" s="5"/>
      <c r="AR110" s="5"/>
      <c r="AS110" s="5"/>
      <c r="AT110" s="5"/>
      <c r="AU110" s="19"/>
      <c r="AV110" s="19"/>
      <c r="AW110" s="5"/>
      <c r="AX110" s="5"/>
      <c r="AY110" s="19"/>
      <c r="AZ110" s="30"/>
      <c r="BA110" s="5"/>
      <c r="BB110" s="31" t="str">
        <f aca="false">IF(OR($T110="",$M110=""),"",$T110-$M110)</f>
        <v/>
      </c>
      <c r="BC110" s="32" t="str">
        <f aca="false">IF(OR($T110="",$M110="",$M110=0),"",($T110-$M110)/$M110)</f>
        <v/>
      </c>
      <c r="BD110" s="31" t="str">
        <f aca="false">IF(OR($U110="",$M110=""),"",$U110-$M110)</f>
        <v/>
      </c>
      <c r="BE110" s="32" t="str">
        <f aca="false">IF(OR($U110="",$M110="",$M110=0),"",($U110-$M110)/$M110)</f>
        <v/>
      </c>
      <c r="BF110" s="32" t="str">
        <f aca="false">IF(OR($U110="",$J110="",$J110=0),"",($U110-$J110)/$J110)</f>
        <v/>
      </c>
      <c r="BG110" s="32" t="str">
        <f aca="false">IF(OR($M110="",$K110="",$K110=0),"",($M110-$K110)/$K110)</f>
        <v/>
      </c>
      <c r="BH110" s="32" t="str">
        <f aca="false">IF(OR($W110="",$N110="",$N110=0),"",($W110-$N110)/$N110)</f>
        <v/>
      </c>
      <c r="BI110" s="33" t="str">
        <f aca="false">IF(OR($O110="",$X110=""),"",$O110-$X110)</f>
        <v/>
      </c>
      <c r="BJ110" s="33" t="str">
        <f aca="false">IF(OR($P110="",$Y110=""),"",$P110-$Y110)</f>
        <v/>
      </c>
      <c r="BK110" s="34" t="str">
        <f aca="false">IF(OR($AN110="",$AO110="",$AN110=0),"",$AO110/$AN110)</f>
        <v/>
      </c>
      <c r="BL110" s="34" t="str">
        <f aca="false">IF(OR($AU110="",$AV110="",$AU110=0),"",$AV110/$AU110)</f>
        <v/>
      </c>
      <c r="BM110" s="7" t="str">
        <f aca="false">IF($Z110="","",IF(AND($Z110="Y",$AB110&lt;&gt;"N",$AC110&lt;&gt;"Y"),"Y","N"))</f>
        <v/>
      </c>
      <c r="BN110" s="7" t="str">
        <f aca="false">IF($AH110="","",IF($Z110&lt;&gt;"Y","undefined",IF($AH110&lt;=1,"Y","N")))</f>
        <v/>
      </c>
      <c r="BO110" s="7" t="str">
        <f aca="false">IF($AH110="","",IF($Z110&lt;&gt;"Y","undefined",IF($AH110&lt;=10,"Y","N")))</f>
        <v/>
      </c>
      <c r="BP110" s="7" t="str">
        <f aca="false">IF($AH110="","",IF($Z110&lt;&gt;"Y","undefined",IF($AH110&lt;=100,"Y","N")))</f>
        <v/>
      </c>
    </row>
    <row r="111" customFormat="false" ht="15" hidden="false" customHeight="false" outlineLevel="0" collapsed="false">
      <c r="A111" s="7" t="str">
        <f aca="false">IF($B111="","",$B111&amp;"|"&amp;$C111&amp;"|"&amp;$F111)</f>
        <v/>
      </c>
      <c r="B111" s="5"/>
      <c r="C111" s="5"/>
      <c r="D111" s="5"/>
      <c r="E111" s="5"/>
      <c r="F111" s="5"/>
      <c r="G111" s="5"/>
      <c r="H111" s="5"/>
      <c r="I111" s="5"/>
      <c r="J111" s="20"/>
      <c r="K111" s="20"/>
      <c r="L111" s="28"/>
      <c r="M111" s="20"/>
      <c r="N111" s="28"/>
      <c r="O111" s="19"/>
      <c r="P111" s="19"/>
      <c r="Q111" s="5"/>
      <c r="R111" s="19"/>
      <c r="S111" s="5"/>
      <c r="T111" s="20"/>
      <c r="U111" s="20"/>
      <c r="V111" s="29"/>
      <c r="W111" s="28"/>
      <c r="X111" s="19"/>
      <c r="Y111" s="19"/>
      <c r="Z111" s="5"/>
      <c r="AA111" s="19"/>
      <c r="AB111" s="5"/>
      <c r="AC111" s="5"/>
      <c r="AD111" s="5"/>
      <c r="AE111" s="5"/>
      <c r="AF111" s="30"/>
      <c r="AG111" s="30"/>
      <c r="AH111" s="30"/>
      <c r="AI111" s="30"/>
      <c r="AJ111" s="30"/>
      <c r="AK111" s="30"/>
      <c r="AL111" s="28"/>
      <c r="AM111" s="5"/>
      <c r="AN111" s="19"/>
      <c r="AO111" s="19"/>
      <c r="AP111" s="5"/>
      <c r="AQ111" s="5"/>
      <c r="AR111" s="5"/>
      <c r="AS111" s="5"/>
      <c r="AT111" s="5"/>
      <c r="AU111" s="19"/>
      <c r="AV111" s="19"/>
      <c r="AW111" s="5"/>
      <c r="AX111" s="5"/>
      <c r="AY111" s="19"/>
      <c r="AZ111" s="30"/>
      <c r="BA111" s="5"/>
      <c r="BB111" s="31" t="str">
        <f aca="false">IF(OR($T111="",$M111=""),"",$T111-$M111)</f>
        <v/>
      </c>
      <c r="BC111" s="32" t="str">
        <f aca="false">IF(OR($T111="",$M111="",$M111=0),"",($T111-$M111)/$M111)</f>
        <v/>
      </c>
      <c r="BD111" s="31" t="str">
        <f aca="false">IF(OR($U111="",$M111=""),"",$U111-$M111)</f>
        <v/>
      </c>
      <c r="BE111" s="32" t="str">
        <f aca="false">IF(OR($U111="",$M111="",$M111=0),"",($U111-$M111)/$M111)</f>
        <v/>
      </c>
      <c r="BF111" s="32" t="str">
        <f aca="false">IF(OR($U111="",$J111="",$J111=0),"",($U111-$J111)/$J111)</f>
        <v/>
      </c>
      <c r="BG111" s="32" t="str">
        <f aca="false">IF(OR($M111="",$K111="",$K111=0),"",($M111-$K111)/$K111)</f>
        <v/>
      </c>
      <c r="BH111" s="32" t="str">
        <f aca="false">IF(OR($W111="",$N111="",$N111=0),"",($W111-$N111)/$N111)</f>
        <v/>
      </c>
      <c r="BI111" s="33" t="str">
        <f aca="false">IF(OR($O111="",$X111=""),"",$O111-$X111)</f>
        <v/>
      </c>
      <c r="BJ111" s="33" t="str">
        <f aca="false">IF(OR($P111="",$Y111=""),"",$P111-$Y111)</f>
        <v/>
      </c>
      <c r="BK111" s="34" t="str">
        <f aca="false">IF(OR($AN111="",$AO111="",$AN111=0),"",$AO111/$AN111)</f>
        <v/>
      </c>
      <c r="BL111" s="34" t="str">
        <f aca="false">IF(OR($AU111="",$AV111="",$AU111=0),"",$AV111/$AU111)</f>
        <v/>
      </c>
      <c r="BM111" s="7" t="str">
        <f aca="false">IF($Z111="","",IF(AND($Z111="Y",$AB111&lt;&gt;"N",$AC111&lt;&gt;"Y"),"Y","N"))</f>
        <v/>
      </c>
      <c r="BN111" s="7" t="str">
        <f aca="false">IF($AH111="","",IF($Z111&lt;&gt;"Y","undefined",IF($AH111&lt;=1,"Y","N")))</f>
        <v/>
      </c>
      <c r="BO111" s="7" t="str">
        <f aca="false">IF($AH111="","",IF($Z111&lt;&gt;"Y","undefined",IF($AH111&lt;=10,"Y","N")))</f>
        <v/>
      </c>
      <c r="BP111" s="7" t="str">
        <f aca="false">IF($AH111="","",IF($Z111&lt;&gt;"Y","undefined",IF($AH111&lt;=100,"Y","N")))</f>
        <v/>
      </c>
    </row>
    <row r="112" customFormat="false" ht="15" hidden="false" customHeight="false" outlineLevel="0" collapsed="false">
      <c r="A112" s="7" t="str">
        <f aca="false">IF($B112="","",$B112&amp;"|"&amp;$C112&amp;"|"&amp;$F112)</f>
        <v/>
      </c>
      <c r="B112" s="5"/>
      <c r="C112" s="5"/>
      <c r="D112" s="5"/>
      <c r="E112" s="5"/>
      <c r="F112" s="5"/>
      <c r="G112" s="5"/>
      <c r="H112" s="5"/>
      <c r="I112" s="5"/>
      <c r="J112" s="20"/>
      <c r="K112" s="20"/>
      <c r="L112" s="28"/>
      <c r="M112" s="20"/>
      <c r="N112" s="28"/>
      <c r="O112" s="19"/>
      <c r="P112" s="19"/>
      <c r="Q112" s="5"/>
      <c r="R112" s="19"/>
      <c r="S112" s="5"/>
      <c r="T112" s="20"/>
      <c r="U112" s="20"/>
      <c r="V112" s="29"/>
      <c r="W112" s="28"/>
      <c r="X112" s="19"/>
      <c r="Y112" s="19"/>
      <c r="Z112" s="5"/>
      <c r="AA112" s="19"/>
      <c r="AB112" s="5"/>
      <c r="AC112" s="5"/>
      <c r="AD112" s="5"/>
      <c r="AE112" s="5"/>
      <c r="AF112" s="30"/>
      <c r="AG112" s="30"/>
      <c r="AH112" s="30"/>
      <c r="AI112" s="30"/>
      <c r="AJ112" s="30"/>
      <c r="AK112" s="30"/>
      <c r="AL112" s="28"/>
      <c r="AM112" s="5"/>
      <c r="AN112" s="19"/>
      <c r="AO112" s="19"/>
      <c r="AP112" s="5"/>
      <c r="AQ112" s="5"/>
      <c r="AR112" s="5"/>
      <c r="AS112" s="5"/>
      <c r="AT112" s="5"/>
      <c r="AU112" s="19"/>
      <c r="AV112" s="19"/>
      <c r="AW112" s="5"/>
      <c r="AX112" s="5"/>
      <c r="AY112" s="19"/>
      <c r="AZ112" s="30"/>
      <c r="BA112" s="5"/>
      <c r="BB112" s="31" t="str">
        <f aca="false">IF(OR($T112="",$M112=""),"",$T112-$M112)</f>
        <v/>
      </c>
      <c r="BC112" s="32" t="str">
        <f aca="false">IF(OR($T112="",$M112="",$M112=0),"",($T112-$M112)/$M112)</f>
        <v/>
      </c>
      <c r="BD112" s="31" t="str">
        <f aca="false">IF(OR($U112="",$M112=""),"",$U112-$M112)</f>
        <v/>
      </c>
      <c r="BE112" s="32" t="str">
        <f aca="false">IF(OR($U112="",$M112="",$M112=0),"",($U112-$M112)/$M112)</f>
        <v/>
      </c>
      <c r="BF112" s="32" t="str">
        <f aca="false">IF(OR($U112="",$J112="",$J112=0),"",($U112-$J112)/$J112)</f>
        <v/>
      </c>
      <c r="BG112" s="32" t="str">
        <f aca="false">IF(OR($M112="",$K112="",$K112=0),"",($M112-$K112)/$K112)</f>
        <v/>
      </c>
      <c r="BH112" s="32" t="str">
        <f aca="false">IF(OR($W112="",$N112="",$N112=0),"",($W112-$N112)/$N112)</f>
        <v/>
      </c>
      <c r="BI112" s="33" t="str">
        <f aca="false">IF(OR($O112="",$X112=""),"",$O112-$X112)</f>
        <v/>
      </c>
      <c r="BJ112" s="33" t="str">
        <f aca="false">IF(OR($P112="",$Y112=""),"",$P112-$Y112)</f>
        <v/>
      </c>
      <c r="BK112" s="34" t="str">
        <f aca="false">IF(OR($AN112="",$AO112="",$AN112=0),"",$AO112/$AN112)</f>
        <v/>
      </c>
      <c r="BL112" s="34" t="str">
        <f aca="false">IF(OR($AU112="",$AV112="",$AU112=0),"",$AV112/$AU112)</f>
        <v/>
      </c>
      <c r="BM112" s="7" t="str">
        <f aca="false">IF($Z112="","",IF(AND($Z112="Y",$AB112&lt;&gt;"N",$AC112&lt;&gt;"Y"),"Y","N"))</f>
        <v/>
      </c>
      <c r="BN112" s="7" t="str">
        <f aca="false">IF($AH112="","",IF($Z112&lt;&gt;"Y","undefined",IF($AH112&lt;=1,"Y","N")))</f>
        <v/>
      </c>
      <c r="BO112" s="7" t="str">
        <f aca="false">IF($AH112="","",IF($Z112&lt;&gt;"Y","undefined",IF($AH112&lt;=10,"Y","N")))</f>
        <v/>
      </c>
      <c r="BP112" s="7" t="str">
        <f aca="false">IF($AH112="","",IF($Z112&lt;&gt;"Y","undefined",IF($AH112&lt;=100,"Y","N")))</f>
        <v/>
      </c>
    </row>
    <row r="113" customFormat="false" ht="15" hidden="false" customHeight="false" outlineLevel="0" collapsed="false">
      <c r="A113" s="7" t="str">
        <f aca="false">IF($B113="","",$B113&amp;"|"&amp;$C113&amp;"|"&amp;$F113)</f>
        <v/>
      </c>
      <c r="B113" s="5"/>
      <c r="C113" s="5"/>
      <c r="D113" s="5"/>
      <c r="E113" s="5"/>
      <c r="F113" s="5"/>
      <c r="G113" s="5"/>
      <c r="H113" s="5"/>
      <c r="I113" s="5"/>
      <c r="J113" s="20"/>
      <c r="K113" s="20"/>
      <c r="L113" s="28"/>
      <c r="M113" s="20"/>
      <c r="N113" s="28"/>
      <c r="O113" s="19"/>
      <c r="P113" s="19"/>
      <c r="Q113" s="5"/>
      <c r="R113" s="19"/>
      <c r="S113" s="5"/>
      <c r="T113" s="20"/>
      <c r="U113" s="20"/>
      <c r="V113" s="29"/>
      <c r="W113" s="28"/>
      <c r="X113" s="19"/>
      <c r="Y113" s="19"/>
      <c r="Z113" s="5"/>
      <c r="AA113" s="19"/>
      <c r="AB113" s="5"/>
      <c r="AC113" s="5"/>
      <c r="AD113" s="5"/>
      <c r="AE113" s="5"/>
      <c r="AF113" s="30"/>
      <c r="AG113" s="30"/>
      <c r="AH113" s="30"/>
      <c r="AI113" s="30"/>
      <c r="AJ113" s="30"/>
      <c r="AK113" s="30"/>
      <c r="AL113" s="28"/>
      <c r="AM113" s="5"/>
      <c r="AN113" s="19"/>
      <c r="AO113" s="19"/>
      <c r="AP113" s="5"/>
      <c r="AQ113" s="5"/>
      <c r="AR113" s="5"/>
      <c r="AS113" s="5"/>
      <c r="AT113" s="5"/>
      <c r="AU113" s="19"/>
      <c r="AV113" s="19"/>
      <c r="AW113" s="5"/>
      <c r="AX113" s="5"/>
      <c r="AY113" s="19"/>
      <c r="AZ113" s="30"/>
      <c r="BA113" s="5"/>
      <c r="BB113" s="31" t="str">
        <f aca="false">IF(OR($T113="",$M113=""),"",$T113-$M113)</f>
        <v/>
      </c>
      <c r="BC113" s="32" t="str">
        <f aca="false">IF(OR($T113="",$M113="",$M113=0),"",($T113-$M113)/$M113)</f>
        <v/>
      </c>
      <c r="BD113" s="31" t="str">
        <f aca="false">IF(OR($U113="",$M113=""),"",$U113-$M113)</f>
        <v/>
      </c>
      <c r="BE113" s="32" t="str">
        <f aca="false">IF(OR($U113="",$M113="",$M113=0),"",($U113-$M113)/$M113)</f>
        <v/>
      </c>
      <c r="BF113" s="32" t="str">
        <f aca="false">IF(OR($U113="",$J113="",$J113=0),"",($U113-$J113)/$J113)</f>
        <v/>
      </c>
      <c r="BG113" s="32" t="str">
        <f aca="false">IF(OR($M113="",$K113="",$K113=0),"",($M113-$K113)/$K113)</f>
        <v/>
      </c>
      <c r="BH113" s="32" t="str">
        <f aca="false">IF(OR($W113="",$N113="",$N113=0),"",($W113-$N113)/$N113)</f>
        <v/>
      </c>
      <c r="BI113" s="33" t="str">
        <f aca="false">IF(OR($O113="",$X113=""),"",$O113-$X113)</f>
        <v/>
      </c>
      <c r="BJ113" s="33" t="str">
        <f aca="false">IF(OR($P113="",$Y113=""),"",$P113-$Y113)</f>
        <v/>
      </c>
      <c r="BK113" s="34" t="str">
        <f aca="false">IF(OR($AN113="",$AO113="",$AN113=0),"",$AO113/$AN113)</f>
        <v/>
      </c>
      <c r="BL113" s="34" t="str">
        <f aca="false">IF(OR($AU113="",$AV113="",$AU113=0),"",$AV113/$AU113)</f>
        <v/>
      </c>
      <c r="BM113" s="7" t="str">
        <f aca="false">IF($Z113="","",IF(AND($Z113="Y",$AB113&lt;&gt;"N",$AC113&lt;&gt;"Y"),"Y","N"))</f>
        <v/>
      </c>
      <c r="BN113" s="7" t="str">
        <f aca="false">IF($AH113="","",IF($Z113&lt;&gt;"Y","undefined",IF($AH113&lt;=1,"Y","N")))</f>
        <v/>
      </c>
      <c r="BO113" s="7" t="str">
        <f aca="false">IF($AH113="","",IF($Z113&lt;&gt;"Y","undefined",IF($AH113&lt;=10,"Y","N")))</f>
        <v/>
      </c>
      <c r="BP113" s="7" t="str">
        <f aca="false">IF($AH113="","",IF($Z113&lt;&gt;"Y","undefined",IF($AH113&lt;=100,"Y","N")))</f>
        <v/>
      </c>
    </row>
    <row r="114" customFormat="false" ht="15" hidden="false" customHeight="false" outlineLevel="0" collapsed="false">
      <c r="A114" s="7" t="str">
        <f aca="false">IF($B114="","",$B114&amp;"|"&amp;$C114&amp;"|"&amp;$F114)</f>
        <v/>
      </c>
      <c r="B114" s="5"/>
      <c r="C114" s="5"/>
      <c r="D114" s="5"/>
      <c r="E114" s="5"/>
      <c r="F114" s="5"/>
      <c r="G114" s="5"/>
      <c r="H114" s="5"/>
      <c r="I114" s="5"/>
      <c r="J114" s="20"/>
      <c r="K114" s="20"/>
      <c r="L114" s="28"/>
      <c r="M114" s="20"/>
      <c r="N114" s="28"/>
      <c r="O114" s="19"/>
      <c r="P114" s="19"/>
      <c r="Q114" s="5"/>
      <c r="R114" s="19"/>
      <c r="S114" s="5"/>
      <c r="T114" s="20"/>
      <c r="U114" s="20"/>
      <c r="V114" s="29"/>
      <c r="W114" s="28"/>
      <c r="X114" s="19"/>
      <c r="Y114" s="19"/>
      <c r="Z114" s="5"/>
      <c r="AA114" s="19"/>
      <c r="AB114" s="5"/>
      <c r="AC114" s="5"/>
      <c r="AD114" s="5"/>
      <c r="AE114" s="5"/>
      <c r="AF114" s="30"/>
      <c r="AG114" s="30"/>
      <c r="AH114" s="30"/>
      <c r="AI114" s="30"/>
      <c r="AJ114" s="30"/>
      <c r="AK114" s="30"/>
      <c r="AL114" s="28"/>
      <c r="AM114" s="5"/>
      <c r="AN114" s="19"/>
      <c r="AO114" s="19"/>
      <c r="AP114" s="5"/>
      <c r="AQ114" s="5"/>
      <c r="AR114" s="5"/>
      <c r="AS114" s="5"/>
      <c r="AT114" s="5"/>
      <c r="AU114" s="19"/>
      <c r="AV114" s="19"/>
      <c r="AW114" s="5"/>
      <c r="AX114" s="5"/>
      <c r="AY114" s="19"/>
      <c r="AZ114" s="30"/>
      <c r="BA114" s="5"/>
      <c r="BB114" s="31" t="str">
        <f aca="false">IF(OR($T114="",$M114=""),"",$T114-$M114)</f>
        <v/>
      </c>
      <c r="BC114" s="32" t="str">
        <f aca="false">IF(OR($T114="",$M114="",$M114=0),"",($T114-$M114)/$M114)</f>
        <v/>
      </c>
      <c r="BD114" s="31" t="str">
        <f aca="false">IF(OR($U114="",$M114=""),"",$U114-$M114)</f>
        <v/>
      </c>
      <c r="BE114" s="32" t="str">
        <f aca="false">IF(OR($U114="",$M114="",$M114=0),"",($U114-$M114)/$M114)</f>
        <v/>
      </c>
      <c r="BF114" s="32" t="str">
        <f aca="false">IF(OR($U114="",$J114="",$J114=0),"",($U114-$J114)/$J114)</f>
        <v/>
      </c>
      <c r="BG114" s="32" t="str">
        <f aca="false">IF(OR($M114="",$K114="",$K114=0),"",($M114-$K114)/$K114)</f>
        <v/>
      </c>
      <c r="BH114" s="32" t="str">
        <f aca="false">IF(OR($W114="",$N114="",$N114=0),"",($W114-$N114)/$N114)</f>
        <v/>
      </c>
      <c r="BI114" s="33" t="str">
        <f aca="false">IF(OR($O114="",$X114=""),"",$O114-$X114)</f>
        <v/>
      </c>
      <c r="BJ114" s="33" t="str">
        <f aca="false">IF(OR($P114="",$Y114=""),"",$P114-$Y114)</f>
        <v/>
      </c>
      <c r="BK114" s="34" t="str">
        <f aca="false">IF(OR($AN114="",$AO114="",$AN114=0),"",$AO114/$AN114)</f>
        <v/>
      </c>
      <c r="BL114" s="34" t="str">
        <f aca="false">IF(OR($AU114="",$AV114="",$AU114=0),"",$AV114/$AU114)</f>
        <v/>
      </c>
      <c r="BM114" s="7" t="str">
        <f aca="false">IF($Z114="","",IF(AND($Z114="Y",$AB114&lt;&gt;"N",$AC114&lt;&gt;"Y"),"Y","N"))</f>
        <v/>
      </c>
      <c r="BN114" s="7" t="str">
        <f aca="false">IF($AH114="","",IF($Z114&lt;&gt;"Y","undefined",IF($AH114&lt;=1,"Y","N")))</f>
        <v/>
      </c>
      <c r="BO114" s="7" t="str">
        <f aca="false">IF($AH114="","",IF($Z114&lt;&gt;"Y","undefined",IF($AH114&lt;=10,"Y","N")))</f>
        <v/>
      </c>
      <c r="BP114" s="7" t="str">
        <f aca="false">IF($AH114="","",IF($Z114&lt;&gt;"Y","undefined",IF($AH114&lt;=100,"Y","N")))</f>
        <v/>
      </c>
    </row>
    <row r="115" customFormat="false" ht="15" hidden="false" customHeight="false" outlineLevel="0" collapsed="false">
      <c r="A115" s="7" t="str">
        <f aca="false">IF($B115="","",$B115&amp;"|"&amp;$C115&amp;"|"&amp;$F115)</f>
        <v/>
      </c>
      <c r="B115" s="5"/>
      <c r="C115" s="5"/>
      <c r="D115" s="5"/>
      <c r="E115" s="5"/>
      <c r="F115" s="5"/>
      <c r="G115" s="5"/>
      <c r="H115" s="5"/>
      <c r="I115" s="5"/>
      <c r="J115" s="20"/>
      <c r="K115" s="20"/>
      <c r="L115" s="28"/>
      <c r="M115" s="20"/>
      <c r="N115" s="28"/>
      <c r="O115" s="19"/>
      <c r="P115" s="19"/>
      <c r="Q115" s="5"/>
      <c r="R115" s="19"/>
      <c r="S115" s="5"/>
      <c r="T115" s="20"/>
      <c r="U115" s="20"/>
      <c r="V115" s="29"/>
      <c r="W115" s="28"/>
      <c r="X115" s="19"/>
      <c r="Y115" s="19"/>
      <c r="Z115" s="5"/>
      <c r="AA115" s="19"/>
      <c r="AB115" s="5"/>
      <c r="AC115" s="5"/>
      <c r="AD115" s="5"/>
      <c r="AE115" s="5"/>
      <c r="AF115" s="30"/>
      <c r="AG115" s="30"/>
      <c r="AH115" s="30"/>
      <c r="AI115" s="30"/>
      <c r="AJ115" s="30"/>
      <c r="AK115" s="30"/>
      <c r="AL115" s="28"/>
      <c r="AM115" s="5"/>
      <c r="AN115" s="19"/>
      <c r="AO115" s="19"/>
      <c r="AP115" s="5"/>
      <c r="AQ115" s="5"/>
      <c r="AR115" s="5"/>
      <c r="AS115" s="5"/>
      <c r="AT115" s="5"/>
      <c r="AU115" s="19"/>
      <c r="AV115" s="19"/>
      <c r="AW115" s="5"/>
      <c r="AX115" s="5"/>
      <c r="AY115" s="19"/>
      <c r="AZ115" s="30"/>
      <c r="BA115" s="5"/>
      <c r="BB115" s="31" t="str">
        <f aca="false">IF(OR($T115="",$M115=""),"",$T115-$M115)</f>
        <v/>
      </c>
      <c r="BC115" s="32" t="str">
        <f aca="false">IF(OR($T115="",$M115="",$M115=0),"",($T115-$M115)/$M115)</f>
        <v/>
      </c>
      <c r="BD115" s="31" t="str">
        <f aca="false">IF(OR($U115="",$M115=""),"",$U115-$M115)</f>
        <v/>
      </c>
      <c r="BE115" s="32" t="str">
        <f aca="false">IF(OR($U115="",$M115="",$M115=0),"",($U115-$M115)/$M115)</f>
        <v/>
      </c>
      <c r="BF115" s="32" t="str">
        <f aca="false">IF(OR($U115="",$J115="",$J115=0),"",($U115-$J115)/$J115)</f>
        <v/>
      </c>
      <c r="BG115" s="32" t="str">
        <f aca="false">IF(OR($M115="",$K115="",$K115=0),"",($M115-$K115)/$K115)</f>
        <v/>
      </c>
      <c r="BH115" s="32" t="str">
        <f aca="false">IF(OR($W115="",$N115="",$N115=0),"",($W115-$N115)/$N115)</f>
        <v/>
      </c>
      <c r="BI115" s="33" t="str">
        <f aca="false">IF(OR($O115="",$X115=""),"",$O115-$X115)</f>
        <v/>
      </c>
      <c r="BJ115" s="33" t="str">
        <f aca="false">IF(OR($P115="",$Y115=""),"",$P115-$Y115)</f>
        <v/>
      </c>
      <c r="BK115" s="34" t="str">
        <f aca="false">IF(OR($AN115="",$AO115="",$AN115=0),"",$AO115/$AN115)</f>
        <v/>
      </c>
      <c r="BL115" s="34" t="str">
        <f aca="false">IF(OR($AU115="",$AV115="",$AU115=0),"",$AV115/$AU115)</f>
        <v/>
      </c>
      <c r="BM115" s="7" t="str">
        <f aca="false">IF($Z115="","",IF(AND($Z115="Y",$AB115&lt;&gt;"N",$AC115&lt;&gt;"Y"),"Y","N"))</f>
        <v/>
      </c>
      <c r="BN115" s="7" t="str">
        <f aca="false">IF($AH115="","",IF($Z115&lt;&gt;"Y","undefined",IF($AH115&lt;=1,"Y","N")))</f>
        <v/>
      </c>
      <c r="BO115" s="7" t="str">
        <f aca="false">IF($AH115="","",IF($Z115&lt;&gt;"Y","undefined",IF($AH115&lt;=10,"Y","N")))</f>
        <v/>
      </c>
      <c r="BP115" s="7" t="str">
        <f aca="false">IF($AH115="","",IF($Z115&lt;&gt;"Y","undefined",IF($AH115&lt;=100,"Y","N")))</f>
        <v/>
      </c>
    </row>
    <row r="116" customFormat="false" ht="15" hidden="false" customHeight="false" outlineLevel="0" collapsed="false">
      <c r="A116" s="7" t="str">
        <f aca="false">IF($B116="","",$B116&amp;"|"&amp;$C116&amp;"|"&amp;$F116)</f>
        <v/>
      </c>
      <c r="B116" s="5"/>
      <c r="C116" s="5"/>
      <c r="D116" s="5"/>
      <c r="E116" s="5"/>
      <c r="F116" s="5"/>
      <c r="G116" s="5"/>
      <c r="H116" s="5"/>
      <c r="I116" s="5"/>
      <c r="J116" s="20"/>
      <c r="K116" s="20"/>
      <c r="L116" s="28"/>
      <c r="M116" s="20"/>
      <c r="N116" s="28"/>
      <c r="O116" s="19"/>
      <c r="P116" s="19"/>
      <c r="Q116" s="5"/>
      <c r="R116" s="19"/>
      <c r="S116" s="5"/>
      <c r="T116" s="20"/>
      <c r="U116" s="20"/>
      <c r="V116" s="29"/>
      <c r="W116" s="28"/>
      <c r="X116" s="19"/>
      <c r="Y116" s="19"/>
      <c r="Z116" s="5"/>
      <c r="AA116" s="19"/>
      <c r="AB116" s="5"/>
      <c r="AC116" s="5"/>
      <c r="AD116" s="5"/>
      <c r="AE116" s="5"/>
      <c r="AF116" s="30"/>
      <c r="AG116" s="30"/>
      <c r="AH116" s="30"/>
      <c r="AI116" s="30"/>
      <c r="AJ116" s="30"/>
      <c r="AK116" s="30"/>
      <c r="AL116" s="28"/>
      <c r="AM116" s="5"/>
      <c r="AN116" s="19"/>
      <c r="AO116" s="19"/>
      <c r="AP116" s="5"/>
      <c r="AQ116" s="5"/>
      <c r="AR116" s="5"/>
      <c r="AS116" s="5"/>
      <c r="AT116" s="5"/>
      <c r="AU116" s="19"/>
      <c r="AV116" s="19"/>
      <c r="AW116" s="5"/>
      <c r="AX116" s="5"/>
      <c r="AY116" s="19"/>
      <c r="AZ116" s="30"/>
      <c r="BA116" s="5"/>
      <c r="BB116" s="31" t="str">
        <f aca="false">IF(OR($T116="",$M116=""),"",$T116-$M116)</f>
        <v/>
      </c>
      <c r="BC116" s="32" t="str">
        <f aca="false">IF(OR($T116="",$M116="",$M116=0),"",($T116-$M116)/$M116)</f>
        <v/>
      </c>
      <c r="BD116" s="31" t="str">
        <f aca="false">IF(OR($U116="",$M116=""),"",$U116-$M116)</f>
        <v/>
      </c>
      <c r="BE116" s="32" t="str">
        <f aca="false">IF(OR($U116="",$M116="",$M116=0),"",($U116-$M116)/$M116)</f>
        <v/>
      </c>
      <c r="BF116" s="32" t="str">
        <f aca="false">IF(OR($U116="",$J116="",$J116=0),"",($U116-$J116)/$J116)</f>
        <v/>
      </c>
      <c r="BG116" s="32" t="str">
        <f aca="false">IF(OR($M116="",$K116="",$K116=0),"",($M116-$K116)/$K116)</f>
        <v/>
      </c>
      <c r="BH116" s="32" t="str">
        <f aca="false">IF(OR($W116="",$N116="",$N116=0),"",($W116-$N116)/$N116)</f>
        <v/>
      </c>
      <c r="BI116" s="33" t="str">
        <f aca="false">IF(OR($O116="",$X116=""),"",$O116-$X116)</f>
        <v/>
      </c>
      <c r="BJ116" s="33" t="str">
        <f aca="false">IF(OR($P116="",$Y116=""),"",$P116-$Y116)</f>
        <v/>
      </c>
      <c r="BK116" s="34" t="str">
        <f aca="false">IF(OR($AN116="",$AO116="",$AN116=0),"",$AO116/$AN116)</f>
        <v/>
      </c>
      <c r="BL116" s="34" t="str">
        <f aca="false">IF(OR($AU116="",$AV116="",$AU116=0),"",$AV116/$AU116)</f>
        <v/>
      </c>
      <c r="BM116" s="7" t="str">
        <f aca="false">IF($Z116="","",IF(AND($Z116="Y",$AB116&lt;&gt;"N",$AC116&lt;&gt;"Y"),"Y","N"))</f>
        <v/>
      </c>
      <c r="BN116" s="7" t="str">
        <f aca="false">IF($AH116="","",IF($Z116&lt;&gt;"Y","undefined",IF($AH116&lt;=1,"Y","N")))</f>
        <v/>
      </c>
      <c r="BO116" s="7" t="str">
        <f aca="false">IF($AH116="","",IF($Z116&lt;&gt;"Y","undefined",IF($AH116&lt;=10,"Y","N")))</f>
        <v/>
      </c>
      <c r="BP116" s="7" t="str">
        <f aca="false">IF($AH116="","",IF($Z116&lt;&gt;"Y","undefined",IF($AH116&lt;=100,"Y","N")))</f>
        <v/>
      </c>
    </row>
    <row r="117" customFormat="false" ht="15" hidden="false" customHeight="false" outlineLevel="0" collapsed="false">
      <c r="A117" s="7" t="str">
        <f aca="false">IF($B117="","",$B117&amp;"|"&amp;$C117&amp;"|"&amp;$F117)</f>
        <v/>
      </c>
      <c r="B117" s="5"/>
      <c r="C117" s="5"/>
      <c r="D117" s="5"/>
      <c r="E117" s="5"/>
      <c r="F117" s="5"/>
      <c r="G117" s="5"/>
      <c r="H117" s="5"/>
      <c r="I117" s="5"/>
      <c r="J117" s="20"/>
      <c r="K117" s="20"/>
      <c r="L117" s="28"/>
      <c r="M117" s="20"/>
      <c r="N117" s="28"/>
      <c r="O117" s="19"/>
      <c r="P117" s="19"/>
      <c r="Q117" s="5"/>
      <c r="R117" s="19"/>
      <c r="S117" s="5"/>
      <c r="T117" s="20"/>
      <c r="U117" s="20"/>
      <c r="V117" s="29"/>
      <c r="W117" s="28"/>
      <c r="X117" s="19"/>
      <c r="Y117" s="19"/>
      <c r="Z117" s="5"/>
      <c r="AA117" s="19"/>
      <c r="AB117" s="5"/>
      <c r="AC117" s="5"/>
      <c r="AD117" s="5"/>
      <c r="AE117" s="5"/>
      <c r="AF117" s="30"/>
      <c r="AG117" s="30"/>
      <c r="AH117" s="30"/>
      <c r="AI117" s="30"/>
      <c r="AJ117" s="30"/>
      <c r="AK117" s="30"/>
      <c r="AL117" s="28"/>
      <c r="AM117" s="5"/>
      <c r="AN117" s="19"/>
      <c r="AO117" s="19"/>
      <c r="AP117" s="5"/>
      <c r="AQ117" s="5"/>
      <c r="AR117" s="5"/>
      <c r="AS117" s="5"/>
      <c r="AT117" s="5"/>
      <c r="AU117" s="19"/>
      <c r="AV117" s="19"/>
      <c r="AW117" s="5"/>
      <c r="AX117" s="5"/>
      <c r="AY117" s="19"/>
      <c r="AZ117" s="30"/>
      <c r="BA117" s="5"/>
      <c r="BB117" s="31" t="str">
        <f aca="false">IF(OR($T117="",$M117=""),"",$T117-$M117)</f>
        <v/>
      </c>
      <c r="BC117" s="32" t="str">
        <f aca="false">IF(OR($T117="",$M117="",$M117=0),"",($T117-$M117)/$M117)</f>
        <v/>
      </c>
      <c r="BD117" s="31" t="str">
        <f aca="false">IF(OR($U117="",$M117=""),"",$U117-$M117)</f>
        <v/>
      </c>
      <c r="BE117" s="32" t="str">
        <f aca="false">IF(OR($U117="",$M117="",$M117=0),"",($U117-$M117)/$M117)</f>
        <v/>
      </c>
      <c r="BF117" s="32" t="str">
        <f aca="false">IF(OR($U117="",$J117="",$J117=0),"",($U117-$J117)/$J117)</f>
        <v/>
      </c>
      <c r="BG117" s="32" t="str">
        <f aca="false">IF(OR($M117="",$K117="",$K117=0),"",($M117-$K117)/$K117)</f>
        <v/>
      </c>
      <c r="BH117" s="32" t="str">
        <f aca="false">IF(OR($W117="",$N117="",$N117=0),"",($W117-$N117)/$N117)</f>
        <v/>
      </c>
      <c r="BI117" s="33" t="str">
        <f aca="false">IF(OR($O117="",$X117=""),"",$O117-$X117)</f>
        <v/>
      </c>
      <c r="BJ117" s="33" t="str">
        <f aca="false">IF(OR($P117="",$Y117=""),"",$P117-$Y117)</f>
        <v/>
      </c>
      <c r="BK117" s="34" t="str">
        <f aca="false">IF(OR($AN117="",$AO117="",$AN117=0),"",$AO117/$AN117)</f>
        <v/>
      </c>
      <c r="BL117" s="34" t="str">
        <f aca="false">IF(OR($AU117="",$AV117="",$AU117=0),"",$AV117/$AU117)</f>
        <v/>
      </c>
      <c r="BM117" s="7" t="str">
        <f aca="false">IF($Z117="","",IF(AND($Z117="Y",$AB117&lt;&gt;"N",$AC117&lt;&gt;"Y"),"Y","N"))</f>
        <v/>
      </c>
      <c r="BN117" s="7" t="str">
        <f aca="false">IF($AH117="","",IF($Z117&lt;&gt;"Y","undefined",IF($AH117&lt;=1,"Y","N")))</f>
        <v/>
      </c>
      <c r="BO117" s="7" t="str">
        <f aca="false">IF($AH117="","",IF($Z117&lt;&gt;"Y","undefined",IF($AH117&lt;=10,"Y","N")))</f>
        <v/>
      </c>
      <c r="BP117" s="7" t="str">
        <f aca="false">IF($AH117="","",IF($Z117&lt;&gt;"Y","undefined",IF($AH117&lt;=100,"Y","N")))</f>
        <v/>
      </c>
    </row>
    <row r="118" customFormat="false" ht="15" hidden="false" customHeight="false" outlineLevel="0" collapsed="false">
      <c r="A118" s="7" t="str">
        <f aca="false">IF($B118="","",$B118&amp;"|"&amp;$C118&amp;"|"&amp;$F118)</f>
        <v/>
      </c>
      <c r="B118" s="5"/>
      <c r="C118" s="5"/>
      <c r="D118" s="5"/>
      <c r="E118" s="5"/>
      <c r="F118" s="5"/>
      <c r="G118" s="5"/>
      <c r="H118" s="5"/>
      <c r="I118" s="5"/>
      <c r="J118" s="20"/>
      <c r="K118" s="20"/>
      <c r="L118" s="28"/>
      <c r="M118" s="20"/>
      <c r="N118" s="28"/>
      <c r="O118" s="19"/>
      <c r="P118" s="19"/>
      <c r="Q118" s="5"/>
      <c r="R118" s="19"/>
      <c r="S118" s="5"/>
      <c r="T118" s="20"/>
      <c r="U118" s="20"/>
      <c r="V118" s="29"/>
      <c r="W118" s="28"/>
      <c r="X118" s="19"/>
      <c r="Y118" s="19"/>
      <c r="Z118" s="5"/>
      <c r="AA118" s="19"/>
      <c r="AB118" s="5"/>
      <c r="AC118" s="5"/>
      <c r="AD118" s="5"/>
      <c r="AE118" s="5"/>
      <c r="AF118" s="30"/>
      <c r="AG118" s="30"/>
      <c r="AH118" s="30"/>
      <c r="AI118" s="30"/>
      <c r="AJ118" s="30"/>
      <c r="AK118" s="30"/>
      <c r="AL118" s="28"/>
      <c r="AM118" s="5"/>
      <c r="AN118" s="19"/>
      <c r="AO118" s="19"/>
      <c r="AP118" s="5"/>
      <c r="AQ118" s="5"/>
      <c r="AR118" s="5"/>
      <c r="AS118" s="5"/>
      <c r="AT118" s="5"/>
      <c r="AU118" s="19"/>
      <c r="AV118" s="19"/>
      <c r="AW118" s="5"/>
      <c r="AX118" s="5"/>
      <c r="AY118" s="19"/>
      <c r="AZ118" s="30"/>
      <c r="BA118" s="5"/>
      <c r="BB118" s="31" t="str">
        <f aca="false">IF(OR($T118="",$M118=""),"",$T118-$M118)</f>
        <v/>
      </c>
      <c r="BC118" s="32" t="str">
        <f aca="false">IF(OR($T118="",$M118="",$M118=0),"",($T118-$M118)/$M118)</f>
        <v/>
      </c>
      <c r="BD118" s="31" t="str">
        <f aca="false">IF(OR($U118="",$M118=""),"",$U118-$M118)</f>
        <v/>
      </c>
      <c r="BE118" s="32" t="str">
        <f aca="false">IF(OR($U118="",$M118="",$M118=0),"",($U118-$M118)/$M118)</f>
        <v/>
      </c>
      <c r="BF118" s="32" t="str">
        <f aca="false">IF(OR($U118="",$J118="",$J118=0),"",($U118-$J118)/$J118)</f>
        <v/>
      </c>
      <c r="BG118" s="32" t="str">
        <f aca="false">IF(OR($M118="",$K118="",$K118=0),"",($M118-$K118)/$K118)</f>
        <v/>
      </c>
      <c r="BH118" s="32" t="str">
        <f aca="false">IF(OR($W118="",$N118="",$N118=0),"",($W118-$N118)/$N118)</f>
        <v/>
      </c>
      <c r="BI118" s="33" t="str">
        <f aca="false">IF(OR($O118="",$X118=""),"",$O118-$X118)</f>
        <v/>
      </c>
      <c r="BJ118" s="33" t="str">
        <f aca="false">IF(OR($P118="",$Y118=""),"",$P118-$Y118)</f>
        <v/>
      </c>
      <c r="BK118" s="34" t="str">
        <f aca="false">IF(OR($AN118="",$AO118="",$AN118=0),"",$AO118/$AN118)</f>
        <v/>
      </c>
      <c r="BL118" s="34" t="str">
        <f aca="false">IF(OR($AU118="",$AV118="",$AU118=0),"",$AV118/$AU118)</f>
        <v/>
      </c>
      <c r="BM118" s="7" t="str">
        <f aca="false">IF($Z118="","",IF(AND($Z118="Y",$AB118&lt;&gt;"N",$AC118&lt;&gt;"Y"),"Y","N"))</f>
        <v/>
      </c>
      <c r="BN118" s="7" t="str">
        <f aca="false">IF($AH118="","",IF($Z118&lt;&gt;"Y","undefined",IF($AH118&lt;=1,"Y","N")))</f>
        <v/>
      </c>
      <c r="BO118" s="7" t="str">
        <f aca="false">IF($AH118="","",IF($Z118&lt;&gt;"Y","undefined",IF($AH118&lt;=10,"Y","N")))</f>
        <v/>
      </c>
      <c r="BP118" s="7" t="str">
        <f aca="false">IF($AH118="","",IF($Z118&lt;&gt;"Y","undefined",IF($AH118&lt;=100,"Y","N")))</f>
        <v/>
      </c>
    </row>
    <row r="119" customFormat="false" ht="15" hidden="false" customHeight="false" outlineLevel="0" collapsed="false">
      <c r="A119" s="7" t="str">
        <f aca="false">IF($B119="","",$B119&amp;"|"&amp;$C119&amp;"|"&amp;$F119)</f>
        <v/>
      </c>
      <c r="B119" s="5"/>
      <c r="C119" s="5"/>
      <c r="D119" s="5"/>
      <c r="E119" s="5"/>
      <c r="F119" s="5"/>
      <c r="G119" s="5"/>
      <c r="H119" s="5"/>
      <c r="I119" s="5"/>
      <c r="J119" s="20"/>
      <c r="K119" s="20"/>
      <c r="L119" s="28"/>
      <c r="M119" s="20"/>
      <c r="N119" s="28"/>
      <c r="O119" s="19"/>
      <c r="P119" s="19"/>
      <c r="Q119" s="5"/>
      <c r="R119" s="19"/>
      <c r="S119" s="5"/>
      <c r="T119" s="20"/>
      <c r="U119" s="20"/>
      <c r="V119" s="29"/>
      <c r="W119" s="28"/>
      <c r="X119" s="19"/>
      <c r="Y119" s="19"/>
      <c r="Z119" s="5"/>
      <c r="AA119" s="19"/>
      <c r="AB119" s="5"/>
      <c r="AC119" s="5"/>
      <c r="AD119" s="5"/>
      <c r="AE119" s="5"/>
      <c r="AF119" s="30"/>
      <c r="AG119" s="30"/>
      <c r="AH119" s="30"/>
      <c r="AI119" s="30"/>
      <c r="AJ119" s="30"/>
      <c r="AK119" s="30"/>
      <c r="AL119" s="28"/>
      <c r="AM119" s="5"/>
      <c r="AN119" s="19"/>
      <c r="AO119" s="19"/>
      <c r="AP119" s="5"/>
      <c r="AQ119" s="5"/>
      <c r="AR119" s="5"/>
      <c r="AS119" s="5"/>
      <c r="AT119" s="5"/>
      <c r="AU119" s="19"/>
      <c r="AV119" s="19"/>
      <c r="AW119" s="5"/>
      <c r="AX119" s="5"/>
      <c r="AY119" s="19"/>
      <c r="AZ119" s="30"/>
      <c r="BA119" s="5"/>
      <c r="BB119" s="31" t="str">
        <f aca="false">IF(OR($T119="",$M119=""),"",$T119-$M119)</f>
        <v/>
      </c>
      <c r="BC119" s="32" t="str">
        <f aca="false">IF(OR($T119="",$M119="",$M119=0),"",($T119-$M119)/$M119)</f>
        <v/>
      </c>
      <c r="BD119" s="31" t="str">
        <f aca="false">IF(OR($U119="",$M119=""),"",$U119-$M119)</f>
        <v/>
      </c>
      <c r="BE119" s="32" t="str">
        <f aca="false">IF(OR($U119="",$M119="",$M119=0),"",($U119-$M119)/$M119)</f>
        <v/>
      </c>
      <c r="BF119" s="32" t="str">
        <f aca="false">IF(OR($U119="",$J119="",$J119=0),"",($U119-$J119)/$J119)</f>
        <v/>
      </c>
      <c r="BG119" s="32" t="str">
        <f aca="false">IF(OR($M119="",$K119="",$K119=0),"",($M119-$K119)/$K119)</f>
        <v/>
      </c>
      <c r="BH119" s="32" t="str">
        <f aca="false">IF(OR($W119="",$N119="",$N119=0),"",($W119-$N119)/$N119)</f>
        <v/>
      </c>
      <c r="BI119" s="33" t="str">
        <f aca="false">IF(OR($O119="",$X119=""),"",$O119-$X119)</f>
        <v/>
      </c>
      <c r="BJ119" s="33" t="str">
        <f aca="false">IF(OR($P119="",$Y119=""),"",$P119-$Y119)</f>
        <v/>
      </c>
      <c r="BK119" s="34" t="str">
        <f aca="false">IF(OR($AN119="",$AO119="",$AN119=0),"",$AO119/$AN119)</f>
        <v/>
      </c>
      <c r="BL119" s="34" t="str">
        <f aca="false">IF(OR($AU119="",$AV119="",$AU119=0),"",$AV119/$AU119)</f>
        <v/>
      </c>
      <c r="BM119" s="7" t="str">
        <f aca="false">IF($Z119="","",IF(AND($Z119="Y",$AB119&lt;&gt;"N",$AC119&lt;&gt;"Y"),"Y","N"))</f>
        <v/>
      </c>
      <c r="BN119" s="7" t="str">
        <f aca="false">IF($AH119="","",IF($Z119&lt;&gt;"Y","undefined",IF($AH119&lt;=1,"Y","N")))</f>
        <v/>
      </c>
      <c r="BO119" s="7" t="str">
        <f aca="false">IF($AH119="","",IF($Z119&lt;&gt;"Y","undefined",IF($AH119&lt;=10,"Y","N")))</f>
        <v/>
      </c>
      <c r="BP119" s="7" t="str">
        <f aca="false">IF($AH119="","",IF($Z119&lt;&gt;"Y","undefined",IF($AH119&lt;=100,"Y","N")))</f>
        <v/>
      </c>
    </row>
    <row r="120" customFormat="false" ht="15" hidden="false" customHeight="false" outlineLevel="0" collapsed="false">
      <c r="A120" s="7" t="str">
        <f aca="false">IF($B120="","",$B120&amp;"|"&amp;$C120&amp;"|"&amp;$F120)</f>
        <v/>
      </c>
      <c r="B120" s="5"/>
      <c r="C120" s="5"/>
      <c r="D120" s="5"/>
      <c r="E120" s="5"/>
      <c r="F120" s="5"/>
      <c r="G120" s="5"/>
      <c r="H120" s="5"/>
      <c r="I120" s="5"/>
      <c r="J120" s="20"/>
      <c r="K120" s="20"/>
      <c r="L120" s="28"/>
      <c r="M120" s="20"/>
      <c r="N120" s="28"/>
      <c r="O120" s="19"/>
      <c r="P120" s="19"/>
      <c r="Q120" s="5"/>
      <c r="R120" s="19"/>
      <c r="S120" s="5"/>
      <c r="T120" s="20"/>
      <c r="U120" s="20"/>
      <c r="V120" s="29"/>
      <c r="W120" s="28"/>
      <c r="X120" s="19"/>
      <c r="Y120" s="19"/>
      <c r="Z120" s="5"/>
      <c r="AA120" s="19"/>
      <c r="AB120" s="5"/>
      <c r="AC120" s="5"/>
      <c r="AD120" s="5"/>
      <c r="AE120" s="5"/>
      <c r="AF120" s="30"/>
      <c r="AG120" s="30"/>
      <c r="AH120" s="30"/>
      <c r="AI120" s="30"/>
      <c r="AJ120" s="30"/>
      <c r="AK120" s="30"/>
      <c r="AL120" s="28"/>
      <c r="AM120" s="5"/>
      <c r="AN120" s="19"/>
      <c r="AO120" s="19"/>
      <c r="AP120" s="5"/>
      <c r="AQ120" s="5"/>
      <c r="AR120" s="5"/>
      <c r="AS120" s="5"/>
      <c r="AT120" s="5"/>
      <c r="AU120" s="19"/>
      <c r="AV120" s="19"/>
      <c r="AW120" s="5"/>
      <c r="AX120" s="5"/>
      <c r="AY120" s="19"/>
      <c r="AZ120" s="30"/>
      <c r="BA120" s="5"/>
      <c r="BB120" s="31" t="str">
        <f aca="false">IF(OR($T120="",$M120=""),"",$T120-$M120)</f>
        <v/>
      </c>
      <c r="BC120" s="32" t="str">
        <f aca="false">IF(OR($T120="",$M120="",$M120=0),"",($T120-$M120)/$M120)</f>
        <v/>
      </c>
      <c r="BD120" s="31" t="str">
        <f aca="false">IF(OR($U120="",$M120=""),"",$U120-$M120)</f>
        <v/>
      </c>
      <c r="BE120" s="32" t="str">
        <f aca="false">IF(OR($U120="",$M120="",$M120=0),"",($U120-$M120)/$M120)</f>
        <v/>
      </c>
      <c r="BF120" s="32" t="str">
        <f aca="false">IF(OR($U120="",$J120="",$J120=0),"",($U120-$J120)/$J120)</f>
        <v/>
      </c>
      <c r="BG120" s="32" t="str">
        <f aca="false">IF(OR($M120="",$K120="",$K120=0),"",($M120-$K120)/$K120)</f>
        <v/>
      </c>
      <c r="BH120" s="32" t="str">
        <f aca="false">IF(OR($W120="",$N120="",$N120=0),"",($W120-$N120)/$N120)</f>
        <v/>
      </c>
      <c r="BI120" s="33" t="str">
        <f aca="false">IF(OR($O120="",$X120=""),"",$O120-$X120)</f>
        <v/>
      </c>
      <c r="BJ120" s="33" t="str">
        <f aca="false">IF(OR($P120="",$Y120=""),"",$P120-$Y120)</f>
        <v/>
      </c>
      <c r="BK120" s="34" t="str">
        <f aca="false">IF(OR($AN120="",$AO120="",$AN120=0),"",$AO120/$AN120)</f>
        <v/>
      </c>
      <c r="BL120" s="34" t="str">
        <f aca="false">IF(OR($AU120="",$AV120="",$AU120=0),"",$AV120/$AU120)</f>
        <v/>
      </c>
      <c r="BM120" s="7" t="str">
        <f aca="false">IF($Z120="","",IF(AND($Z120="Y",$AB120&lt;&gt;"N",$AC120&lt;&gt;"Y"),"Y","N"))</f>
        <v/>
      </c>
      <c r="BN120" s="7" t="str">
        <f aca="false">IF($AH120="","",IF($Z120&lt;&gt;"Y","undefined",IF($AH120&lt;=1,"Y","N")))</f>
        <v/>
      </c>
      <c r="BO120" s="7" t="str">
        <f aca="false">IF($AH120="","",IF($Z120&lt;&gt;"Y","undefined",IF($AH120&lt;=10,"Y","N")))</f>
        <v/>
      </c>
      <c r="BP120" s="7" t="str">
        <f aca="false">IF($AH120="","",IF($Z120&lt;&gt;"Y","undefined",IF($AH120&lt;=100,"Y","N")))</f>
        <v/>
      </c>
    </row>
    <row r="121" customFormat="false" ht="15" hidden="false" customHeight="false" outlineLevel="0" collapsed="false">
      <c r="A121" s="7" t="str">
        <f aca="false">IF($B121="","",$B121&amp;"|"&amp;$C121&amp;"|"&amp;$F121)</f>
        <v/>
      </c>
      <c r="B121" s="5"/>
      <c r="C121" s="5"/>
      <c r="D121" s="5"/>
      <c r="E121" s="5"/>
      <c r="F121" s="5"/>
      <c r="G121" s="5"/>
      <c r="H121" s="5"/>
      <c r="I121" s="5"/>
      <c r="J121" s="20"/>
      <c r="K121" s="20"/>
      <c r="L121" s="28"/>
      <c r="M121" s="20"/>
      <c r="N121" s="28"/>
      <c r="O121" s="19"/>
      <c r="P121" s="19"/>
      <c r="Q121" s="5"/>
      <c r="R121" s="19"/>
      <c r="S121" s="5"/>
      <c r="T121" s="20"/>
      <c r="U121" s="20"/>
      <c r="V121" s="29"/>
      <c r="W121" s="28"/>
      <c r="X121" s="19"/>
      <c r="Y121" s="19"/>
      <c r="Z121" s="5"/>
      <c r="AA121" s="19"/>
      <c r="AB121" s="5"/>
      <c r="AC121" s="5"/>
      <c r="AD121" s="5"/>
      <c r="AE121" s="5"/>
      <c r="AF121" s="30"/>
      <c r="AG121" s="30"/>
      <c r="AH121" s="30"/>
      <c r="AI121" s="30"/>
      <c r="AJ121" s="30"/>
      <c r="AK121" s="30"/>
      <c r="AL121" s="28"/>
      <c r="AM121" s="5"/>
      <c r="AN121" s="19"/>
      <c r="AO121" s="19"/>
      <c r="AP121" s="5"/>
      <c r="AQ121" s="5"/>
      <c r="AR121" s="5"/>
      <c r="AS121" s="5"/>
      <c r="AT121" s="5"/>
      <c r="AU121" s="19"/>
      <c r="AV121" s="19"/>
      <c r="AW121" s="5"/>
      <c r="AX121" s="5"/>
      <c r="AY121" s="19"/>
      <c r="AZ121" s="30"/>
      <c r="BA121" s="5"/>
      <c r="BB121" s="31" t="str">
        <f aca="false">IF(OR($T121="",$M121=""),"",$T121-$M121)</f>
        <v/>
      </c>
      <c r="BC121" s="32" t="str">
        <f aca="false">IF(OR($T121="",$M121="",$M121=0),"",($T121-$M121)/$M121)</f>
        <v/>
      </c>
      <c r="BD121" s="31" t="str">
        <f aca="false">IF(OR($U121="",$M121=""),"",$U121-$M121)</f>
        <v/>
      </c>
      <c r="BE121" s="32" t="str">
        <f aca="false">IF(OR($U121="",$M121="",$M121=0),"",($U121-$M121)/$M121)</f>
        <v/>
      </c>
      <c r="BF121" s="32" t="str">
        <f aca="false">IF(OR($U121="",$J121="",$J121=0),"",($U121-$J121)/$J121)</f>
        <v/>
      </c>
      <c r="BG121" s="32" t="str">
        <f aca="false">IF(OR($M121="",$K121="",$K121=0),"",($M121-$K121)/$K121)</f>
        <v/>
      </c>
      <c r="BH121" s="32" t="str">
        <f aca="false">IF(OR($W121="",$N121="",$N121=0),"",($W121-$N121)/$N121)</f>
        <v/>
      </c>
      <c r="BI121" s="33" t="str">
        <f aca="false">IF(OR($O121="",$X121=""),"",$O121-$X121)</f>
        <v/>
      </c>
      <c r="BJ121" s="33" t="str">
        <f aca="false">IF(OR($P121="",$Y121=""),"",$P121-$Y121)</f>
        <v/>
      </c>
      <c r="BK121" s="34" t="str">
        <f aca="false">IF(OR($AN121="",$AO121="",$AN121=0),"",$AO121/$AN121)</f>
        <v/>
      </c>
      <c r="BL121" s="34" t="str">
        <f aca="false">IF(OR($AU121="",$AV121="",$AU121=0),"",$AV121/$AU121)</f>
        <v/>
      </c>
      <c r="BM121" s="7" t="str">
        <f aca="false">IF($Z121="","",IF(AND($Z121="Y",$AB121&lt;&gt;"N",$AC121&lt;&gt;"Y"),"Y","N"))</f>
        <v/>
      </c>
      <c r="BN121" s="7" t="str">
        <f aca="false">IF($AH121="","",IF($Z121&lt;&gt;"Y","undefined",IF($AH121&lt;=1,"Y","N")))</f>
        <v/>
      </c>
      <c r="BO121" s="7" t="str">
        <f aca="false">IF($AH121="","",IF($Z121&lt;&gt;"Y","undefined",IF($AH121&lt;=10,"Y","N")))</f>
        <v/>
      </c>
      <c r="BP121" s="7" t="str">
        <f aca="false">IF($AH121="","",IF($Z121&lt;&gt;"Y","undefined",IF($AH121&lt;=100,"Y","N")))</f>
        <v/>
      </c>
    </row>
    <row r="122" customFormat="false" ht="15" hidden="false" customHeight="false" outlineLevel="0" collapsed="false">
      <c r="A122" s="7" t="str">
        <f aca="false">IF($B122="","",$B122&amp;"|"&amp;$C122&amp;"|"&amp;$F122)</f>
        <v/>
      </c>
      <c r="B122" s="5"/>
      <c r="C122" s="5"/>
      <c r="D122" s="5"/>
      <c r="E122" s="5"/>
      <c r="F122" s="5"/>
      <c r="G122" s="5"/>
      <c r="H122" s="5"/>
      <c r="I122" s="5"/>
      <c r="J122" s="20"/>
      <c r="K122" s="20"/>
      <c r="L122" s="28"/>
      <c r="M122" s="20"/>
      <c r="N122" s="28"/>
      <c r="O122" s="19"/>
      <c r="P122" s="19"/>
      <c r="Q122" s="5"/>
      <c r="R122" s="19"/>
      <c r="S122" s="5"/>
      <c r="T122" s="20"/>
      <c r="U122" s="20"/>
      <c r="V122" s="29"/>
      <c r="W122" s="28"/>
      <c r="X122" s="19"/>
      <c r="Y122" s="19"/>
      <c r="Z122" s="5"/>
      <c r="AA122" s="19"/>
      <c r="AB122" s="5"/>
      <c r="AC122" s="5"/>
      <c r="AD122" s="5"/>
      <c r="AE122" s="5"/>
      <c r="AF122" s="30"/>
      <c r="AG122" s="30"/>
      <c r="AH122" s="30"/>
      <c r="AI122" s="30"/>
      <c r="AJ122" s="30"/>
      <c r="AK122" s="30"/>
      <c r="AL122" s="28"/>
      <c r="AM122" s="5"/>
      <c r="AN122" s="19"/>
      <c r="AO122" s="19"/>
      <c r="AP122" s="5"/>
      <c r="AQ122" s="5"/>
      <c r="AR122" s="5"/>
      <c r="AS122" s="5"/>
      <c r="AT122" s="5"/>
      <c r="AU122" s="19"/>
      <c r="AV122" s="19"/>
      <c r="AW122" s="5"/>
      <c r="AX122" s="5"/>
      <c r="AY122" s="19"/>
      <c r="AZ122" s="30"/>
      <c r="BA122" s="5"/>
      <c r="BB122" s="31" t="str">
        <f aca="false">IF(OR($T122="",$M122=""),"",$T122-$M122)</f>
        <v/>
      </c>
      <c r="BC122" s="32" t="str">
        <f aca="false">IF(OR($T122="",$M122="",$M122=0),"",($T122-$M122)/$M122)</f>
        <v/>
      </c>
      <c r="BD122" s="31" t="str">
        <f aca="false">IF(OR($U122="",$M122=""),"",$U122-$M122)</f>
        <v/>
      </c>
      <c r="BE122" s="32" t="str">
        <f aca="false">IF(OR($U122="",$M122="",$M122=0),"",($U122-$M122)/$M122)</f>
        <v/>
      </c>
      <c r="BF122" s="32" t="str">
        <f aca="false">IF(OR($U122="",$J122="",$J122=0),"",($U122-$J122)/$J122)</f>
        <v/>
      </c>
      <c r="BG122" s="32" t="str">
        <f aca="false">IF(OR($M122="",$K122="",$K122=0),"",($M122-$K122)/$K122)</f>
        <v/>
      </c>
      <c r="BH122" s="32" t="str">
        <f aca="false">IF(OR($W122="",$N122="",$N122=0),"",($W122-$N122)/$N122)</f>
        <v/>
      </c>
      <c r="BI122" s="33" t="str">
        <f aca="false">IF(OR($O122="",$X122=""),"",$O122-$X122)</f>
        <v/>
      </c>
      <c r="BJ122" s="33" t="str">
        <f aca="false">IF(OR($P122="",$Y122=""),"",$P122-$Y122)</f>
        <v/>
      </c>
      <c r="BK122" s="34" t="str">
        <f aca="false">IF(OR($AN122="",$AO122="",$AN122=0),"",$AO122/$AN122)</f>
        <v/>
      </c>
      <c r="BL122" s="34" t="str">
        <f aca="false">IF(OR($AU122="",$AV122="",$AU122=0),"",$AV122/$AU122)</f>
        <v/>
      </c>
      <c r="BM122" s="7" t="str">
        <f aca="false">IF($Z122="","",IF(AND($Z122="Y",$AB122&lt;&gt;"N",$AC122&lt;&gt;"Y"),"Y","N"))</f>
        <v/>
      </c>
      <c r="BN122" s="7" t="str">
        <f aca="false">IF($AH122="","",IF($Z122&lt;&gt;"Y","undefined",IF($AH122&lt;=1,"Y","N")))</f>
        <v/>
      </c>
      <c r="BO122" s="7" t="str">
        <f aca="false">IF($AH122="","",IF($Z122&lt;&gt;"Y","undefined",IF($AH122&lt;=10,"Y","N")))</f>
        <v/>
      </c>
      <c r="BP122" s="7" t="str">
        <f aca="false">IF($AH122="","",IF($Z122&lt;&gt;"Y","undefined",IF($AH122&lt;=100,"Y","N")))</f>
        <v/>
      </c>
    </row>
    <row r="123" customFormat="false" ht="15" hidden="false" customHeight="false" outlineLevel="0" collapsed="false">
      <c r="A123" s="7" t="str">
        <f aca="false">IF($B123="","",$B123&amp;"|"&amp;$C123&amp;"|"&amp;$F123)</f>
        <v/>
      </c>
      <c r="B123" s="5"/>
      <c r="C123" s="5"/>
      <c r="D123" s="5"/>
      <c r="E123" s="5"/>
      <c r="F123" s="5"/>
      <c r="G123" s="5"/>
      <c r="H123" s="5"/>
      <c r="I123" s="5"/>
      <c r="J123" s="20"/>
      <c r="K123" s="20"/>
      <c r="L123" s="28"/>
      <c r="M123" s="20"/>
      <c r="N123" s="28"/>
      <c r="O123" s="19"/>
      <c r="P123" s="19"/>
      <c r="Q123" s="5"/>
      <c r="R123" s="19"/>
      <c r="S123" s="5"/>
      <c r="T123" s="20"/>
      <c r="U123" s="20"/>
      <c r="V123" s="29"/>
      <c r="W123" s="28"/>
      <c r="X123" s="19"/>
      <c r="Y123" s="19"/>
      <c r="Z123" s="5"/>
      <c r="AA123" s="19"/>
      <c r="AB123" s="5"/>
      <c r="AC123" s="5"/>
      <c r="AD123" s="5"/>
      <c r="AE123" s="5"/>
      <c r="AF123" s="30"/>
      <c r="AG123" s="30"/>
      <c r="AH123" s="30"/>
      <c r="AI123" s="30"/>
      <c r="AJ123" s="30"/>
      <c r="AK123" s="30"/>
      <c r="AL123" s="28"/>
      <c r="AM123" s="5"/>
      <c r="AN123" s="19"/>
      <c r="AO123" s="19"/>
      <c r="AP123" s="5"/>
      <c r="AQ123" s="5"/>
      <c r="AR123" s="5"/>
      <c r="AS123" s="5"/>
      <c r="AT123" s="5"/>
      <c r="AU123" s="19"/>
      <c r="AV123" s="19"/>
      <c r="AW123" s="5"/>
      <c r="AX123" s="5"/>
      <c r="AY123" s="19"/>
      <c r="AZ123" s="30"/>
      <c r="BA123" s="5"/>
      <c r="BB123" s="31" t="str">
        <f aca="false">IF(OR($T123="",$M123=""),"",$T123-$M123)</f>
        <v/>
      </c>
      <c r="BC123" s="32" t="str">
        <f aca="false">IF(OR($T123="",$M123="",$M123=0),"",($T123-$M123)/$M123)</f>
        <v/>
      </c>
      <c r="BD123" s="31" t="str">
        <f aca="false">IF(OR($U123="",$M123=""),"",$U123-$M123)</f>
        <v/>
      </c>
      <c r="BE123" s="32" t="str">
        <f aca="false">IF(OR($U123="",$M123="",$M123=0),"",($U123-$M123)/$M123)</f>
        <v/>
      </c>
      <c r="BF123" s="32" t="str">
        <f aca="false">IF(OR($U123="",$J123="",$J123=0),"",($U123-$J123)/$J123)</f>
        <v/>
      </c>
      <c r="BG123" s="32" t="str">
        <f aca="false">IF(OR($M123="",$K123="",$K123=0),"",($M123-$K123)/$K123)</f>
        <v/>
      </c>
      <c r="BH123" s="32" t="str">
        <f aca="false">IF(OR($W123="",$N123="",$N123=0),"",($W123-$N123)/$N123)</f>
        <v/>
      </c>
      <c r="BI123" s="33" t="str">
        <f aca="false">IF(OR($O123="",$X123=""),"",$O123-$X123)</f>
        <v/>
      </c>
      <c r="BJ123" s="33" t="str">
        <f aca="false">IF(OR($P123="",$Y123=""),"",$P123-$Y123)</f>
        <v/>
      </c>
      <c r="BK123" s="34" t="str">
        <f aca="false">IF(OR($AN123="",$AO123="",$AN123=0),"",$AO123/$AN123)</f>
        <v/>
      </c>
      <c r="BL123" s="34" t="str">
        <f aca="false">IF(OR($AU123="",$AV123="",$AU123=0),"",$AV123/$AU123)</f>
        <v/>
      </c>
      <c r="BM123" s="7" t="str">
        <f aca="false">IF($Z123="","",IF(AND($Z123="Y",$AB123&lt;&gt;"N",$AC123&lt;&gt;"Y"),"Y","N"))</f>
        <v/>
      </c>
      <c r="BN123" s="7" t="str">
        <f aca="false">IF($AH123="","",IF($Z123&lt;&gt;"Y","undefined",IF($AH123&lt;=1,"Y","N")))</f>
        <v/>
      </c>
      <c r="BO123" s="7" t="str">
        <f aca="false">IF($AH123="","",IF($Z123&lt;&gt;"Y","undefined",IF($AH123&lt;=10,"Y","N")))</f>
        <v/>
      </c>
      <c r="BP123" s="7" t="str">
        <f aca="false">IF($AH123="","",IF($Z123&lt;&gt;"Y","undefined",IF($AH123&lt;=100,"Y","N")))</f>
        <v/>
      </c>
    </row>
    <row r="124" customFormat="false" ht="15" hidden="false" customHeight="false" outlineLevel="0" collapsed="false">
      <c r="A124" s="7" t="str">
        <f aca="false">IF($B124="","",$B124&amp;"|"&amp;$C124&amp;"|"&amp;$F124)</f>
        <v/>
      </c>
      <c r="B124" s="5"/>
      <c r="C124" s="5"/>
      <c r="D124" s="5"/>
      <c r="E124" s="5"/>
      <c r="F124" s="5"/>
      <c r="G124" s="5"/>
      <c r="H124" s="5"/>
      <c r="I124" s="5"/>
      <c r="J124" s="20"/>
      <c r="K124" s="20"/>
      <c r="L124" s="28"/>
      <c r="M124" s="20"/>
      <c r="N124" s="28"/>
      <c r="O124" s="19"/>
      <c r="P124" s="19"/>
      <c r="Q124" s="5"/>
      <c r="R124" s="19"/>
      <c r="S124" s="5"/>
      <c r="T124" s="20"/>
      <c r="U124" s="20"/>
      <c r="V124" s="29"/>
      <c r="W124" s="28"/>
      <c r="X124" s="19"/>
      <c r="Y124" s="19"/>
      <c r="Z124" s="5"/>
      <c r="AA124" s="19"/>
      <c r="AB124" s="5"/>
      <c r="AC124" s="5"/>
      <c r="AD124" s="5"/>
      <c r="AE124" s="5"/>
      <c r="AF124" s="30"/>
      <c r="AG124" s="30"/>
      <c r="AH124" s="30"/>
      <c r="AI124" s="30"/>
      <c r="AJ124" s="30"/>
      <c r="AK124" s="30"/>
      <c r="AL124" s="28"/>
      <c r="AM124" s="5"/>
      <c r="AN124" s="19"/>
      <c r="AO124" s="19"/>
      <c r="AP124" s="5"/>
      <c r="AQ124" s="5"/>
      <c r="AR124" s="5"/>
      <c r="AS124" s="5"/>
      <c r="AT124" s="5"/>
      <c r="AU124" s="19"/>
      <c r="AV124" s="19"/>
      <c r="AW124" s="5"/>
      <c r="AX124" s="5"/>
      <c r="AY124" s="19"/>
      <c r="AZ124" s="30"/>
      <c r="BA124" s="5"/>
      <c r="BB124" s="31" t="str">
        <f aca="false">IF(OR($T124="",$M124=""),"",$T124-$M124)</f>
        <v/>
      </c>
      <c r="BC124" s="32" t="str">
        <f aca="false">IF(OR($T124="",$M124="",$M124=0),"",($T124-$M124)/$M124)</f>
        <v/>
      </c>
      <c r="BD124" s="31" t="str">
        <f aca="false">IF(OR($U124="",$M124=""),"",$U124-$M124)</f>
        <v/>
      </c>
      <c r="BE124" s="32" t="str">
        <f aca="false">IF(OR($U124="",$M124="",$M124=0),"",($U124-$M124)/$M124)</f>
        <v/>
      </c>
      <c r="BF124" s="32" t="str">
        <f aca="false">IF(OR($U124="",$J124="",$J124=0),"",($U124-$J124)/$J124)</f>
        <v/>
      </c>
      <c r="BG124" s="32" t="str">
        <f aca="false">IF(OR($M124="",$K124="",$K124=0),"",($M124-$K124)/$K124)</f>
        <v/>
      </c>
      <c r="BH124" s="32" t="str">
        <f aca="false">IF(OR($W124="",$N124="",$N124=0),"",($W124-$N124)/$N124)</f>
        <v/>
      </c>
      <c r="BI124" s="33" t="str">
        <f aca="false">IF(OR($O124="",$X124=""),"",$O124-$X124)</f>
        <v/>
      </c>
      <c r="BJ124" s="33" t="str">
        <f aca="false">IF(OR($P124="",$Y124=""),"",$P124-$Y124)</f>
        <v/>
      </c>
      <c r="BK124" s="34" t="str">
        <f aca="false">IF(OR($AN124="",$AO124="",$AN124=0),"",$AO124/$AN124)</f>
        <v/>
      </c>
      <c r="BL124" s="34" t="str">
        <f aca="false">IF(OR($AU124="",$AV124="",$AU124=0),"",$AV124/$AU124)</f>
        <v/>
      </c>
      <c r="BM124" s="7" t="str">
        <f aca="false">IF($Z124="","",IF(AND($Z124="Y",$AB124&lt;&gt;"N",$AC124&lt;&gt;"Y"),"Y","N"))</f>
        <v/>
      </c>
      <c r="BN124" s="7" t="str">
        <f aca="false">IF($AH124="","",IF($Z124&lt;&gt;"Y","undefined",IF($AH124&lt;=1,"Y","N")))</f>
        <v/>
      </c>
      <c r="BO124" s="7" t="str">
        <f aca="false">IF($AH124="","",IF($Z124&lt;&gt;"Y","undefined",IF($AH124&lt;=10,"Y","N")))</f>
        <v/>
      </c>
      <c r="BP124" s="7" t="str">
        <f aca="false">IF($AH124="","",IF($Z124&lt;&gt;"Y","undefined",IF($AH124&lt;=100,"Y","N")))</f>
        <v/>
      </c>
    </row>
    <row r="125" customFormat="false" ht="15" hidden="false" customHeight="false" outlineLevel="0" collapsed="false">
      <c r="A125" s="7" t="str">
        <f aca="false">IF($B125="","",$B125&amp;"|"&amp;$C125&amp;"|"&amp;$F125)</f>
        <v/>
      </c>
      <c r="B125" s="5"/>
      <c r="C125" s="5"/>
      <c r="D125" s="5"/>
      <c r="E125" s="5"/>
      <c r="F125" s="5"/>
      <c r="G125" s="5"/>
      <c r="H125" s="5"/>
      <c r="I125" s="5"/>
      <c r="J125" s="20"/>
      <c r="K125" s="20"/>
      <c r="L125" s="28"/>
      <c r="M125" s="20"/>
      <c r="N125" s="28"/>
      <c r="O125" s="19"/>
      <c r="P125" s="19"/>
      <c r="Q125" s="5"/>
      <c r="R125" s="19"/>
      <c r="S125" s="5"/>
      <c r="T125" s="20"/>
      <c r="U125" s="20"/>
      <c r="V125" s="29"/>
      <c r="W125" s="28"/>
      <c r="X125" s="19"/>
      <c r="Y125" s="19"/>
      <c r="Z125" s="5"/>
      <c r="AA125" s="19"/>
      <c r="AB125" s="5"/>
      <c r="AC125" s="5"/>
      <c r="AD125" s="5"/>
      <c r="AE125" s="5"/>
      <c r="AF125" s="30"/>
      <c r="AG125" s="30"/>
      <c r="AH125" s="30"/>
      <c r="AI125" s="30"/>
      <c r="AJ125" s="30"/>
      <c r="AK125" s="30"/>
      <c r="AL125" s="28"/>
      <c r="AM125" s="5"/>
      <c r="AN125" s="19"/>
      <c r="AO125" s="19"/>
      <c r="AP125" s="5"/>
      <c r="AQ125" s="5"/>
      <c r="AR125" s="5"/>
      <c r="AS125" s="5"/>
      <c r="AT125" s="5"/>
      <c r="AU125" s="19"/>
      <c r="AV125" s="19"/>
      <c r="AW125" s="5"/>
      <c r="AX125" s="5"/>
      <c r="AY125" s="19"/>
      <c r="AZ125" s="30"/>
      <c r="BA125" s="5"/>
      <c r="BB125" s="31" t="str">
        <f aca="false">IF(OR($T125="",$M125=""),"",$T125-$M125)</f>
        <v/>
      </c>
      <c r="BC125" s="32" t="str">
        <f aca="false">IF(OR($T125="",$M125="",$M125=0),"",($T125-$M125)/$M125)</f>
        <v/>
      </c>
      <c r="BD125" s="31" t="str">
        <f aca="false">IF(OR($U125="",$M125=""),"",$U125-$M125)</f>
        <v/>
      </c>
      <c r="BE125" s="32" t="str">
        <f aca="false">IF(OR($U125="",$M125="",$M125=0),"",($U125-$M125)/$M125)</f>
        <v/>
      </c>
      <c r="BF125" s="32" t="str">
        <f aca="false">IF(OR($U125="",$J125="",$J125=0),"",($U125-$J125)/$J125)</f>
        <v/>
      </c>
      <c r="BG125" s="32" t="str">
        <f aca="false">IF(OR($M125="",$K125="",$K125=0),"",($M125-$K125)/$K125)</f>
        <v/>
      </c>
      <c r="BH125" s="32" t="str">
        <f aca="false">IF(OR($W125="",$N125="",$N125=0),"",($W125-$N125)/$N125)</f>
        <v/>
      </c>
      <c r="BI125" s="33" t="str">
        <f aca="false">IF(OR($O125="",$X125=""),"",$O125-$X125)</f>
        <v/>
      </c>
      <c r="BJ125" s="33" t="str">
        <f aca="false">IF(OR($P125="",$Y125=""),"",$P125-$Y125)</f>
        <v/>
      </c>
      <c r="BK125" s="34" t="str">
        <f aca="false">IF(OR($AN125="",$AO125="",$AN125=0),"",$AO125/$AN125)</f>
        <v/>
      </c>
      <c r="BL125" s="34" t="str">
        <f aca="false">IF(OR($AU125="",$AV125="",$AU125=0),"",$AV125/$AU125)</f>
        <v/>
      </c>
      <c r="BM125" s="7" t="str">
        <f aca="false">IF($Z125="","",IF(AND($Z125="Y",$AB125&lt;&gt;"N",$AC125&lt;&gt;"Y"),"Y","N"))</f>
        <v/>
      </c>
      <c r="BN125" s="7" t="str">
        <f aca="false">IF($AH125="","",IF($Z125&lt;&gt;"Y","undefined",IF($AH125&lt;=1,"Y","N")))</f>
        <v/>
      </c>
      <c r="BO125" s="7" t="str">
        <f aca="false">IF($AH125="","",IF($Z125&lt;&gt;"Y","undefined",IF($AH125&lt;=10,"Y","N")))</f>
        <v/>
      </c>
      <c r="BP125" s="7" t="str">
        <f aca="false">IF($AH125="","",IF($Z125&lt;&gt;"Y","undefined",IF($AH125&lt;=100,"Y","N")))</f>
        <v/>
      </c>
    </row>
    <row r="126" customFormat="false" ht="15" hidden="false" customHeight="false" outlineLevel="0" collapsed="false">
      <c r="A126" s="7" t="str">
        <f aca="false">IF($B126="","",$B126&amp;"|"&amp;$C126&amp;"|"&amp;$F126)</f>
        <v/>
      </c>
      <c r="B126" s="5"/>
      <c r="C126" s="5"/>
      <c r="D126" s="5"/>
      <c r="E126" s="5"/>
      <c r="F126" s="5"/>
      <c r="G126" s="5"/>
      <c r="H126" s="5"/>
      <c r="I126" s="5"/>
      <c r="J126" s="20"/>
      <c r="K126" s="20"/>
      <c r="L126" s="28"/>
      <c r="M126" s="20"/>
      <c r="N126" s="28"/>
      <c r="O126" s="19"/>
      <c r="P126" s="19"/>
      <c r="Q126" s="5"/>
      <c r="R126" s="19"/>
      <c r="S126" s="5"/>
      <c r="T126" s="20"/>
      <c r="U126" s="20"/>
      <c r="V126" s="29"/>
      <c r="W126" s="28"/>
      <c r="X126" s="19"/>
      <c r="Y126" s="19"/>
      <c r="Z126" s="5"/>
      <c r="AA126" s="19"/>
      <c r="AB126" s="5"/>
      <c r="AC126" s="5"/>
      <c r="AD126" s="5"/>
      <c r="AE126" s="5"/>
      <c r="AF126" s="30"/>
      <c r="AG126" s="30"/>
      <c r="AH126" s="30"/>
      <c r="AI126" s="30"/>
      <c r="AJ126" s="30"/>
      <c r="AK126" s="30"/>
      <c r="AL126" s="28"/>
      <c r="AM126" s="5"/>
      <c r="AN126" s="19"/>
      <c r="AO126" s="19"/>
      <c r="AP126" s="5"/>
      <c r="AQ126" s="5"/>
      <c r="AR126" s="5"/>
      <c r="AS126" s="5"/>
      <c r="AT126" s="5"/>
      <c r="AU126" s="19"/>
      <c r="AV126" s="19"/>
      <c r="AW126" s="5"/>
      <c r="AX126" s="5"/>
      <c r="AY126" s="19"/>
      <c r="AZ126" s="30"/>
      <c r="BA126" s="5"/>
      <c r="BB126" s="31" t="str">
        <f aca="false">IF(OR($T126="",$M126=""),"",$T126-$M126)</f>
        <v/>
      </c>
      <c r="BC126" s="32" t="str">
        <f aca="false">IF(OR($T126="",$M126="",$M126=0),"",($T126-$M126)/$M126)</f>
        <v/>
      </c>
      <c r="BD126" s="31" t="str">
        <f aca="false">IF(OR($U126="",$M126=""),"",$U126-$M126)</f>
        <v/>
      </c>
      <c r="BE126" s="32" t="str">
        <f aca="false">IF(OR($U126="",$M126="",$M126=0),"",($U126-$M126)/$M126)</f>
        <v/>
      </c>
      <c r="BF126" s="32" t="str">
        <f aca="false">IF(OR($U126="",$J126="",$J126=0),"",($U126-$J126)/$J126)</f>
        <v/>
      </c>
      <c r="BG126" s="32" t="str">
        <f aca="false">IF(OR($M126="",$K126="",$K126=0),"",($M126-$K126)/$K126)</f>
        <v/>
      </c>
      <c r="BH126" s="32" t="str">
        <f aca="false">IF(OR($W126="",$N126="",$N126=0),"",($W126-$N126)/$N126)</f>
        <v/>
      </c>
      <c r="BI126" s="33" t="str">
        <f aca="false">IF(OR($O126="",$X126=""),"",$O126-$X126)</f>
        <v/>
      </c>
      <c r="BJ126" s="33" t="str">
        <f aca="false">IF(OR($P126="",$Y126=""),"",$P126-$Y126)</f>
        <v/>
      </c>
      <c r="BK126" s="34" t="str">
        <f aca="false">IF(OR($AN126="",$AO126="",$AN126=0),"",$AO126/$AN126)</f>
        <v/>
      </c>
      <c r="BL126" s="34" t="str">
        <f aca="false">IF(OR($AU126="",$AV126="",$AU126=0),"",$AV126/$AU126)</f>
        <v/>
      </c>
      <c r="BM126" s="7" t="str">
        <f aca="false">IF($Z126="","",IF(AND($Z126="Y",$AB126&lt;&gt;"N",$AC126&lt;&gt;"Y"),"Y","N"))</f>
        <v/>
      </c>
      <c r="BN126" s="7" t="str">
        <f aca="false">IF($AH126="","",IF($Z126&lt;&gt;"Y","undefined",IF($AH126&lt;=1,"Y","N")))</f>
        <v/>
      </c>
      <c r="BO126" s="7" t="str">
        <f aca="false">IF($AH126="","",IF($Z126&lt;&gt;"Y","undefined",IF($AH126&lt;=10,"Y","N")))</f>
        <v/>
      </c>
      <c r="BP126" s="7" t="str">
        <f aca="false">IF($AH126="","",IF($Z126&lt;&gt;"Y","undefined",IF($AH126&lt;=100,"Y","N")))</f>
        <v/>
      </c>
    </row>
    <row r="127" customFormat="false" ht="15" hidden="false" customHeight="false" outlineLevel="0" collapsed="false">
      <c r="A127" s="7" t="str">
        <f aca="false">IF($B127="","",$B127&amp;"|"&amp;$C127&amp;"|"&amp;$F127)</f>
        <v/>
      </c>
      <c r="B127" s="5"/>
      <c r="C127" s="5"/>
      <c r="D127" s="5"/>
      <c r="E127" s="5"/>
      <c r="F127" s="5"/>
      <c r="G127" s="5"/>
      <c r="H127" s="5"/>
      <c r="I127" s="5"/>
      <c r="J127" s="20"/>
      <c r="K127" s="20"/>
      <c r="L127" s="28"/>
      <c r="M127" s="20"/>
      <c r="N127" s="28"/>
      <c r="O127" s="19"/>
      <c r="P127" s="19"/>
      <c r="Q127" s="5"/>
      <c r="R127" s="19"/>
      <c r="S127" s="5"/>
      <c r="T127" s="20"/>
      <c r="U127" s="20"/>
      <c r="V127" s="29"/>
      <c r="W127" s="28"/>
      <c r="X127" s="19"/>
      <c r="Y127" s="19"/>
      <c r="Z127" s="5"/>
      <c r="AA127" s="19"/>
      <c r="AB127" s="5"/>
      <c r="AC127" s="5"/>
      <c r="AD127" s="5"/>
      <c r="AE127" s="5"/>
      <c r="AF127" s="30"/>
      <c r="AG127" s="30"/>
      <c r="AH127" s="30"/>
      <c r="AI127" s="30"/>
      <c r="AJ127" s="30"/>
      <c r="AK127" s="30"/>
      <c r="AL127" s="28"/>
      <c r="AM127" s="5"/>
      <c r="AN127" s="19"/>
      <c r="AO127" s="19"/>
      <c r="AP127" s="5"/>
      <c r="AQ127" s="5"/>
      <c r="AR127" s="5"/>
      <c r="AS127" s="5"/>
      <c r="AT127" s="5"/>
      <c r="AU127" s="19"/>
      <c r="AV127" s="19"/>
      <c r="AW127" s="5"/>
      <c r="AX127" s="5"/>
      <c r="AY127" s="19"/>
      <c r="AZ127" s="30"/>
      <c r="BA127" s="5"/>
      <c r="BB127" s="31" t="str">
        <f aca="false">IF(OR($T127="",$M127=""),"",$T127-$M127)</f>
        <v/>
      </c>
      <c r="BC127" s="32" t="str">
        <f aca="false">IF(OR($T127="",$M127="",$M127=0),"",($T127-$M127)/$M127)</f>
        <v/>
      </c>
      <c r="BD127" s="31" t="str">
        <f aca="false">IF(OR($U127="",$M127=""),"",$U127-$M127)</f>
        <v/>
      </c>
      <c r="BE127" s="32" t="str">
        <f aca="false">IF(OR($U127="",$M127="",$M127=0),"",($U127-$M127)/$M127)</f>
        <v/>
      </c>
      <c r="BF127" s="32" t="str">
        <f aca="false">IF(OR($U127="",$J127="",$J127=0),"",($U127-$J127)/$J127)</f>
        <v/>
      </c>
      <c r="BG127" s="32" t="str">
        <f aca="false">IF(OR($M127="",$K127="",$K127=0),"",($M127-$K127)/$K127)</f>
        <v/>
      </c>
      <c r="BH127" s="32" t="str">
        <f aca="false">IF(OR($W127="",$N127="",$N127=0),"",($W127-$N127)/$N127)</f>
        <v/>
      </c>
      <c r="BI127" s="33" t="str">
        <f aca="false">IF(OR($O127="",$X127=""),"",$O127-$X127)</f>
        <v/>
      </c>
      <c r="BJ127" s="33" t="str">
        <f aca="false">IF(OR($P127="",$Y127=""),"",$P127-$Y127)</f>
        <v/>
      </c>
      <c r="BK127" s="34" t="str">
        <f aca="false">IF(OR($AN127="",$AO127="",$AN127=0),"",$AO127/$AN127)</f>
        <v/>
      </c>
      <c r="BL127" s="34" t="str">
        <f aca="false">IF(OR($AU127="",$AV127="",$AU127=0),"",$AV127/$AU127)</f>
        <v/>
      </c>
      <c r="BM127" s="7" t="str">
        <f aca="false">IF($Z127="","",IF(AND($Z127="Y",$AB127&lt;&gt;"N",$AC127&lt;&gt;"Y"),"Y","N"))</f>
        <v/>
      </c>
      <c r="BN127" s="7" t="str">
        <f aca="false">IF($AH127="","",IF($Z127&lt;&gt;"Y","undefined",IF($AH127&lt;=1,"Y","N")))</f>
        <v/>
      </c>
      <c r="BO127" s="7" t="str">
        <f aca="false">IF($AH127="","",IF($Z127&lt;&gt;"Y","undefined",IF($AH127&lt;=10,"Y","N")))</f>
        <v/>
      </c>
      <c r="BP127" s="7" t="str">
        <f aca="false">IF($AH127="","",IF($Z127&lt;&gt;"Y","undefined",IF($AH127&lt;=100,"Y","N")))</f>
        <v/>
      </c>
    </row>
    <row r="128" customFormat="false" ht="15" hidden="false" customHeight="false" outlineLevel="0" collapsed="false">
      <c r="A128" s="7" t="str">
        <f aca="false">IF($B128="","",$B128&amp;"|"&amp;$C128&amp;"|"&amp;$F128)</f>
        <v/>
      </c>
      <c r="B128" s="5"/>
      <c r="C128" s="5"/>
      <c r="D128" s="5"/>
      <c r="E128" s="5"/>
      <c r="F128" s="5"/>
      <c r="G128" s="5"/>
      <c r="H128" s="5"/>
      <c r="I128" s="5"/>
      <c r="J128" s="20"/>
      <c r="K128" s="20"/>
      <c r="L128" s="28"/>
      <c r="M128" s="20"/>
      <c r="N128" s="28"/>
      <c r="O128" s="19"/>
      <c r="P128" s="19"/>
      <c r="Q128" s="5"/>
      <c r="R128" s="19"/>
      <c r="S128" s="5"/>
      <c r="T128" s="20"/>
      <c r="U128" s="20"/>
      <c r="V128" s="29"/>
      <c r="W128" s="28"/>
      <c r="X128" s="19"/>
      <c r="Y128" s="19"/>
      <c r="Z128" s="5"/>
      <c r="AA128" s="19"/>
      <c r="AB128" s="5"/>
      <c r="AC128" s="5"/>
      <c r="AD128" s="5"/>
      <c r="AE128" s="5"/>
      <c r="AF128" s="30"/>
      <c r="AG128" s="30"/>
      <c r="AH128" s="30"/>
      <c r="AI128" s="30"/>
      <c r="AJ128" s="30"/>
      <c r="AK128" s="30"/>
      <c r="AL128" s="28"/>
      <c r="AM128" s="5"/>
      <c r="AN128" s="19"/>
      <c r="AO128" s="19"/>
      <c r="AP128" s="5"/>
      <c r="AQ128" s="5"/>
      <c r="AR128" s="5"/>
      <c r="AS128" s="5"/>
      <c r="AT128" s="5"/>
      <c r="AU128" s="19"/>
      <c r="AV128" s="19"/>
      <c r="AW128" s="5"/>
      <c r="AX128" s="5"/>
      <c r="AY128" s="19"/>
      <c r="AZ128" s="30"/>
      <c r="BA128" s="5"/>
      <c r="BB128" s="31" t="str">
        <f aca="false">IF(OR($T128="",$M128=""),"",$T128-$M128)</f>
        <v/>
      </c>
      <c r="BC128" s="32" t="str">
        <f aca="false">IF(OR($T128="",$M128="",$M128=0),"",($T128-$M128)/$M128)</f>
        <v/>
      </c>
      <c r="BD128" s="31" t="str">
        <f aca="false">IF(OR($U128="",$M128=""),"",$U128-$M128)</f>
        <v/>
      </c>
      <c r="BE128" s="32" t="str">
        <f aca="false">IF(OR($U128="",$M128="",$M128=0),"",($U128-$M128)/$M128)</f>
        <v/>
      </c>
      <c r="BF128" s="32" t="str">
        <f aca="false">IF(OR($U128="",$J128="",$J128=0),"",($U128-$J128)/$J128)</f>
        <v/>
      </c>
      <c r="BG128" s="32" t="str">
        <f aca="false">IF(OR($M128="",$K128="",$K128=0),"",($M128-$K128)/$K128)</f>
        <v/>
      </c>
      <c r="BH128" s="32" t="str">
        <f aca="false">IF(OR($W128="",$N128="",$N128=0),"",($W128-$N128)/$N128)</f>
        <v/>
      </c>
      <c r="BI128" s="33" t="str">
        <f aca="false">IF(OR($O128="",$X128=""),"",$O128-$X128)</f>
        <v/>
      </c>
      <c r="BJ128" s="33" t="str">
        <f aca="false">IF(OR($P128="",$Y128=""),"",$P128-$Y128)</f>
        <v/>
      </c>
      <c r="BK128" s="34" t="str">
        <f aca="false">IF(OR($AN128="",$AO128="",$AN128=0),"",$AO128/$AN128)</f>
        <v/>
      </c>
      <c r="BL128" s="34" t="str">
        <f aca="false">IF(OR($AU128="",$AV128="",$AU128=0),"",$AV128/$AU128)</f>
        <v/>
      </c>
      <c r="BM128" s="7" t="str">
        <f aca="false">IF($Z128="","",IF(AND($Z128="Y",$AB128&lt;&gt;"N",$AC128&lt;&gt;"Y"),"Y","N"))</f>
        <v/>
      </c>
      <c r="BN128" s="7" t="str">
        <f aca="false">IF($AH128="","",IF($Z128&lt;&gt;"Y","undefined",IF($AH128&lt;=1,"Y","N")))</f>
        <v/>
      </c>
      <c r="BO128" s="7" t="str">
        <f aca="false">IF($AH128="","",IF($Z128&lt;&gt;"Y","undefined",IF($AH128&lt;=10,"Y","N")))</f>
        <v/>
      </c>
      <c r="BP128" s="7" t="str">
        <f aca="false">IF($AH128="","",IF($Z128&lt;&gt;"Y","undefined",IF($AH128&lt;=100,"Y","N")))</f>
        <v/>
      </c>
    </row>
    <row r="129" customFormat="false" ht="15" hidden="false" customHeight="false" outlineLevel="0" collapsed="false">
      <c r="A129" s="7" t="str">
        <f aca="false">IF($B129="","",$B129&amp;"|"&amp;$C129&amp;"|"&amp;$F129)</f>
        <v/>
      </c>
      <c r="B129" s="5"/>
      <c r="C129" s="5"/>
      <c r="D129" s="5"/>
      <c r="E129" s="5"/>
      <c r="F129" s="5"/>
      <c r="G129" s="5"/>
      <c r="H129" s="5"/>
      <c r="I129" s="5"/>
      <c r="J129" s="20"/>
      <c r="K129" s="20"/>
      <c r="L129" s="28"/>
      <c r="M129" s="20"/>
      <c r="N129" s="28"/>
      <c r="O129" s="19"/>
      <c r="P129" s="19"/>
      <c r="Q129" s="5"/>
      <c r="R129" s="19"/>
      <c r="S129" s="5"/>
      <c r="T129" s="20"/>
      <c r="U129" s="20"/>
      <c r="V129" s="29"/>
      <c r="W129" s="28"/>
      <c r="X129" s="19"/>
      <c r="Y129" s="19"/>
      <c r="Z129" s="5"/>
      <c r="AA129" s="19"/>
      <c r="AB129" s="5"/>
      <c r="AC129" s="5"/>
      <c r="AD129" s="5"/>
      <c r="AE129" s="5"/>
      <c r="AF129" s="30"/>
      <c r="AG129" s="30"/>
      <c r="AH129" s="30"/>
      <c r="AI129" s="30"/>
      <c r="AJ129" s="30"/>
      <c r="AK129" s="30"/>
      <c r="AL129" s="28"/>
      <c r="AM129" s="5"/>
      <c r="AN129" s="19"/>
      <c r="AO129" s="19"/>
      <c r="AP129" s="5"/>
      <c r="AQ129" s="5"/>
      <c r="AR129" s="5"/>
      <c r="AS129" s="5"/>
      <c r="AT129" s="5"/>
      <c r="AU129" s="19"/>
      <c r="AV129" s="19"/>
      <c r="AW129" s="5"/>
      <c r="AX129" s="5"/>
      <c r="AY129" s="19"/>
      <c r="AZ129" s="30"/>
      <c r="BA129" s="5"/>
      <c r="BB129" s="31" t="str">
        <f aca="false">IF(OR($T129="",$M129=""),"",$T129-$M129)</f>
        <v/>
      </c>
      <c r="BC129" s="32" t="str">
        <f aca="false">IF(OR($T129="",$M129="",$M129=0),"",($T129-$M129)/$M129)</f>
        <v/>
      </c>
      <c r="BD129" s="31" t="str">
        <f aca="false">IF(OR($U129="",$M129=""),"",$U129-$M129)</f>
        <v/>
      </c>
      <c r="BE129" s="32" t="str">
        <f aca="false">IF(OR($U129="",$M129="",$M129=0),"",($U129-$M129)/$M129)</f>
        <v/>
      </c>
      <c r="BF129" s="32" t="str">
        <f aca="false">IF(OR($U129="",$J129="",$J129=0),"",($U129-$J129)/$J129)</f>
        <v/>
      </c>
      <c r="BG129" s="32" t="str">
        <f aca="false">IF(OR($M129="",$K129="",$K129=0),"",($M129-$K129)/$K129)</f>
        <v/>
      </c>
      <c r="BH129" s="32" t="str">
        <f aca="false">IF(OR($W129="",$N129="",$N129=0),"",($W129-$N129)/$N129)</f>
        <v/>
      </c>
      <c r="BI129" s="33" t="str">
        <f aca="false">IF(OR($O129="",$X129=""),"",$O129-$X129)</f>
        <v/>
      </c>
      <c r="BJ129" s="33" t="str">
        <f aca="false">IF(OR($P129="",$Y129=""),"",$P129-$Y129)</f>
        <v/>
      </c>
      <c r="BK129" s="34" t="str">
        <f aca="false">IF(OR($AN129="",$AO129="",$AN129=0),"",$AO129/$AN129)</f>
        <v/>
      </c>
      <c r="BL129" s="34" t="str">
        <f aca="false">IF(OR($AU129="",$AV129="",$AU129=0),"",$AV129/$AU129)</f>
        <v/>
      </c>
      <c r="BM129" s="7" t="str">
        <f aca="false">IF($Z129="","",IF(AND($Z129="Y",$AB129&lt;&gt;"N",$AC129&lt;&gt;"Y"),"Y","N"))</f>
        <v/>
      </c>
      <c r="BN129" s="7" t="str">
        <f aca="false">IF($AH129="","",IF($Z129&lt;&gt;"Y","undefined",IF($AH129&lt;=1,"Y","N")))</f>
        <v/>
      </c>
      <c r="BO129" s="7" t="str">
        <f aca="false">IF($AH129="","",IF($Z129&lt;&gt;"Y","undefined",IF($AH129&lt;=10,"Y","N")))</f>
        <v/>
      </c>
      <c r="BP129" s="7" t="str">
        <f aca="false">IF($AH129="","",IF($Z129&lt;&gt;"Y","undefined",IF($AH129&lt;=100,"Y","N")))</f>
        <v/>
      </c>
    </row>
    <row r="130" customFormat="false" ht="15" hidden="false" customHeight="false" outlineLevel="0" collapsed="false">
      <c r="A130" s="7" t="str">
        <f aca="false">IF($B130="","",$B130&amp;"|"&amp;$C130&amp;"|"&amp;$F130)</f>
        <v/>
      </c>
      <c r="B130" s="5"/>
      <c r="C130" s="5"/>
      <c r="D130" s="5"/>
      <c r="E130" s="5"/>
      <c r="F130" s="5"/>
      <c r="G130" s="5"/>
      <c r="H130" s="5"/>
      <c r="I130" s="5"/>
      <c r="J130" s="20"/>
      <c r="K130" s="20"/>
      <c r="L130" s="28"/>
      <c r="M130" s="20"/>
      <c r="N130" s="28"/>
      <c r="O130" s="19"/>
      <c r="P130" s="19"/>
      <c r="Q130" s="5"/>
      <c r="R130" s="19"/>
      <c r="S130" s="5"/>
      <c r="T130" s="20"/>
      <c r="U130" s="20"/>
      <c r="V130" s="29"/>
      <c r="W130" s="28"/>
      <c r="X130" s="19"/>
      <c r="Y130" s="19"/>
      <c r="Z130" s="5"/>
      <c r="AA130" s="19"/>
      <c r="AB130" s="5"/>
      <c r="AC130" s="5"/>
      <c r="AD130" s="5"/>
      <c r="AE130" s="5"/>
      <c r="AF130" s="30"/>
      <c r="AG130" s="30"/>
      <c r="AH130" s="30"/>
      <c r="AI130" s="30"/>
      <c r="AJ130" s="30"/>
      <c r="AK130" s="30"/>
      <c r="AL130" s="28"/>
      <c r="AM130" s="5"/>
      <c r="AN130" s="19"/>
      <c r="AO130" s="19"/>
      <c r="AP130" s="5"/>
      <c r="AQ130" s="5"/>
      <c r="AR130" s="5"/>
      <c r="AS130" s="5"/>
      <c r="AT130" s="5"/>
      <c r="AU130" s="19"/>
      <c r="AV130" s="19"/>
      <c r="AW130" s="5"/>
      <c r="AX130" s="5"/>
      <c r="AY130" s="19"/>
      <c r="AZ130" s="30"/>
      <c r="BA130" s="5"/>
      <c r="BB130" s="31" t="str">
        <f aca="false">IF(OR($T130="",$M130=""),"",$T130-$M130)</f>
        <v/>
      </c>
      <c r="BC130" s="32" t="str">
        <f aca="false">IF(OR($T130="",$M130="",$M130=0),"",($T130-$M130)/$M130)</f>
        <v/>
      </c>
      <c r="BD130" s="31" t="str">
        <f aca="false">IF(OR($U130="",$M130=""),"",$U130-$M130)</f>
        <v/>
      </c>
      <c r="BE130" s="32" t="str">
        <f aca="false">IF(OR($U130="",$M130="",$M130=0),"",($U130-$M130)/$M130)</f>
        <v/>
      </c>
      <c r="BF130" s="32" t="str">
        <f aca="false">IF(OR($U130="",$J130="",$J130=0),"",($U130-$J130)/$J130)</f>
        <v/>
      </c>
      <c r="BG130" s="32" t="str">
        <f aca="false">IF(OR($M130="",$K130="",$K130=0),"",($M130-$K130)/$K130)</f>
        <v/>
      </c>
      <c r="BH130" s="32" t="str">
        <f aca="false">IF(OR($W130="",$N130="",$N130=0),"",($W130-$N130)/$N130)</f>
        <v/>
      </c>
      <c r="BI130" s="33" t="str">
        <f aca="false">IF(OR($O130="",$X130=""),"",$O130-$X130)</f>
        <v/>
      </c>
      <c r="BJ130" s="33" t="str">
        <f aca="false">IF(OR($P130="",$Y130=""),"",$P130-$Y130)</f>
        <v/>
      </c>
      <c r="BK130" s="34" t="str">
        <f aca="false">IF(OR($AN130="",$AO130="",$AN130=0),"",$AO130/$AN130)</f>
        <v/>
      </c>
      <c r="BL130" s="34" t="str">
        <f aca="false">IF(OR($AU130="",$AV130="",$AU130=0),"",$AV130/$AU130)</f>
        <v/>
      </c>
      <c r="BM130" s="7" t="str">
        <f aca="false">IF($Z130="","",IF(AND($Z130="Y",$AB130&lt;&gt;"N",$AC130&lt;&gt;"Y"),"Y","N"))</f>
        <v/>
      </c>
      <c r="BN130" s="7" t="str">
        <f aca="false">IF($AH130="","",IF($Z130&lt;&gt;"Y","undefined",IF($AH130&lt;=1,"Y","N")))</f>
        <v/>
      </c>
      <c r="BO130" s="7" t="str">
        <f aca="false">IF($AH130="","",IF($Z130&lt;&gt;"Y","undefined",IF($AH130&lt;=10,"Y","N")))</f>
        <v/>
      </c>
      <c r="BP130" s="7" t="str">
        <f aca="false">IF($AH130="","",IF($Z130&lt;&gt;"Y","undefined",IF($AH130&lt;=100,"Y","N")))</f>
        <v/>
      </c>
    </row>
    <row r="131" customFormat="false" ht="15" hidden="false" customHeight="false" outlineLevel="0" collapsed="false">
      <c r="A131" s="7" t="str">
        <f aca="false">IF($B131="","",$B131&amp;"|"&amp;$C131&amp;"|"&amp;$F131)</f>
        <v/>
      </c>
      <c r="B131" s="5"/>
      <c r="C131" s="5"/>
      <c r="D131" s="5"/>
      <c r="E131" s="5"/>
      <c r="F131" s="5"/>
      <c r="G131" s="5"/>
      <c r="H131" s="5"/>
      <c r="I131" s="5"/>
      <c r="J131" s="20"/>
      <c r="K131" s="20"/>
      <c r="L131" s="28"/>
      <c r="M131" s="20"/>
      <c r="N131" s="28"/>
      <c r="O131" s="19"/>
      <c r="P131" s="19"/>
      <c r="Q131" s="5"/>
      <c r="R131" s="19"/>
      <c r="S131" s="5"/>
      <c r="T131" s="20"/>
      <c r="U131" s="20"/>
      <c r="V131" s="29"/>
      <c r="W131" s="28"/>
      <c r="X131" s="19"/>
      <c r="Y131" s="19"/>
      <c r="Z131" s="5"/>
      <c r="AA131" s="19"/>
      <c r="AB131" s="5"/>
      <c r="AC131" s="5"/>
      <c r="AD131" s="5"/>
      <c r="AE131" s="5"/>
      <c r="AF131" s="30"/>
      <c r="AG131" s="30"/>
      <c r="AH131" s="30"/>
      <c r="AI131" s="30"/>
      <c r="AJ131" s="30"/>
      <c r="AK131" s="30"/>
      <c r="AL131" s="28"/>
      <c r="AM131" s="5"/>
      <c r="AN131" s="19"/>
      <c r="AO131" s="19"/>
      <c r="AP131" s="5"/>
      <c r="AQ131" s="5"/>
      <c r="AR131" s="5"/>
      <c r="AS131" s="5"/>
      <c r="AT131" s="5"/>
      <c r="AU131" s="19"/>
      <c r="AV131" s="19"/>
      <c r="AW131" s="5"/>
      <c r="AX131" s="5"/>
      <c r="AY131" s="19"/>
      <c r="AZ131" s="30"/>
      <c r="BA131" s="5"/>
      <c r="BB131" s="31" t="str">
        <f aca="false">IF(OR($T131="",$M131=""),"",$T131-$M131)</f>
        <v/>
      </c>
      <c r="BC131" s="32" t="str">
        <f aca="false">IF(OR($T131="",$M131="",$M131=0),"",($T131-$M131)/$M131)</f>
        <v/>
      </c>
      <c r="BD131" s="31" t="str">
        <f aca="false">IF(OR($U131="",$M131=""),"",$U131-$M131)</f>
        <v/>
      </c>
      <c r="BE131" s="32" t="str">
        <f aca="false">IF(OR($U131="",$M131="",$M131=0),"",($U131-$M131)/$M131)</f>
        <v/>
      </c>
      <c r="BF131" s="32" t="str">
        <f aca="false">IF(OR($U131="",$J131="",$J131=0),"",($U131-$J131)/$J131)</f>
        <v/>
      </c>
      <c r="BG131" s="32" t="str">
        <f aca="false">IF(OR($M131="",$K131="",$K131=0),"",($M131-$K131)/$K131)</f>
        <v/>
      </c>
      <c r="BH131" s="32" t="str">
        <f aca="false">IF(OR($W131="",$N131="",$N131=0),"",($W131-$N131)/$N131)</f>
        <v/>
      </c>
      <c r="BI131" s="33" t="str">
        <f aca="false">IF(OR($O131="",$X131=""),"",$O131-$X131)</f>
        <v/>
      </c>
      <c r="BJ131" s="33" t="str">
        <f aca="false">IF(OR($P131="",$Y131=""),"",$P131-$Y131)</f>
        <v/>
      </c>
      <c r="BK131" s="34" t="str">
        <f aca="false">IF(OR($AN131="",$AO131="",$AN131=0),"",$AO131/$AN131)</f>
        <v/>
      </c>
      <c r="BL131" s="34" t="str">
        <f aca="false">IF(OR($AU131="",$AV131="",$AU131=0),"",$AV131/$AU131)</f>
        <v/>
      </c>
      <c r="BM131" s="7" t="str">
        <f aca="false">IF($Z131="","",IF(AND($Z131="Y",$AB131&lt;&gt;"N",$AC131&lt;&gt;"Y"),"Y","N"))</f>
        <v/>
      </c>
      <c r="BN131" s="7" t="str">
        <f aca="false">IF($AH131="","",IF($Z131&lt;&gt;"Y","undefined",IF($AH131&lt;=1,"Y","N")))</f>
        <v/>
      </c>
      <c r="BO131" s="7" t="str">
        <f aca="false">IF($AH131="","",IF($Z131&lt;&gt;"Y","undefined",IF($AH131&lt;=10,"Y","N")))</f>
        <v/>
      </c>
      <c r="BP131" s="7" t="str">
        <f aca="false">IF($AH131="","",IF($Z131&lt;&gt;"Y","undefined",IF($AH131&lt;=100,"Y","N")))</f>
        <v/>
      </c>
    </row>
    <row r="132" customFormat="false" ht="15" hidden="false" customHeight="false" outlineLevel="0" collapsed="false">
      <c r="A132" s="7" t="str">
        <f aca="false">IF($B132="","",$B132&amp;"|"&amp;$C132&amp;"|"&amp;$F132)</f>
        <v/>
      </c>
      <c r="B132" s="5"/>
      <c r="C132" s="5"/>
      <c r="D132" s="5"/>
      <c r="E132" s="5"/>
      <c r="F132" s="5"/>
      <c r="G132" s="5"/>
      <c r="H132" s="5"/>
      <c r="I132" s="5"/>
      <c r="J132" s="20"/>
      <c r="K132" s="20"/>
      <c r="L132" s="28"/>
      <c r="M132" s="20"/>
      <c r="N132" s="28"/>
      <c r="O132" s="19"/>
      <c r="P132" s="19"/>
      <c r="Q132" s="5"/>
      <c r="R132" s="19"/>
      <c r="S132" s="5"/>
      <c r="T132" s="20"/>
      <c r="U132" s="20"/>
      <c r="V132" s="29"/>
      <c r="W132" s="28"/>
      <c r="X132" s="19"/>
      <c r="Y132" s="19"/>
      <c r="Z132" s="5"/>
      <c r="AA132" s="19"/>
      <c r="AB132" s="5"/>
      <c r="AC132" s="5"/>
      <c r="AD132" s="5"/>
      <c r="AE132" s="5"/>
      <c r="AF132" s="30"/>
      <c r="AG132" s="30"/>
      <c r="AH132" s="30"/>
      <c r="AI132" s="30"/>
      <c r="AJ132" s="30"/>
      <c r="AK132" s="30"/>
      <c r="AL132" s="28"/>
      <c r="AM132" s="5"/>
      <c r="AN132" s="19"/>
      <c r="AO132" s="19"/>
      <c r="AP132" s="5"/>
      <c r="AQ132" s="5"/>
      <c r="AR132" s="5"/>
      <c r="AS132" s="5"/>
      <c r="AT132" s="5"/>
      <c r="AU132" s="19"/>
      <c r="AV132" s="19"/>
      <c r="AW132" s="5"/>
      <c r="AX132" s="5"/>
      <c r="AY132" s="19"/>
      <c r="AZ132" s="30"/>
      <c r="BA132" s="5"/>
      <c r="BB132" s="31" t="str">
        <f aca="false">IF(OR($T132="",$M132=""),"",$T132-$M132)</f>
        <v/>
      </c>
      <c r="BC132" s="32" t="str">
        <f aca="false">IF(OR($T132="",$M132="",$M132=0),"",($T132-$M132)/$M132)</f>
        <v/>
      </c>
      <c r="BD132" s="31" t="str">
        <f aca="false">IF(OR($U132="",$M132=""),"",$U132-$M132)</f>
        <v/>
      </c>
      <c r="BE132" s="32" t="str">
        <f aca="false">IF(OR($U132="",$M132="",$M132=0),"",($U132-$M132)/$M132)</f>
        <v/>
      </c>
      <c r="BF132" s="32" t="str">
        <f aca="false">IF(OR($U132="",$J132="",$J132=0),"",($U132-$J132)/$J132)</f>
        <v/>
      </c>
      <c r="BG132" s="32" t="str">
        <f aca="false">IF(OR($M132="",$K132="",$K132=0),"",($M132-$K132)/$K132)</f>
        <v/>
      </c>
      <c r="BH132" s="32" t="str">
        <f aca="false">IF(OR($W132="",$N132="",$N132=0),"",($W132-$N132)/$N132)</f>
        <v/>
      </c>
      <c r="BI132" s="33" t="str">
        <f aca="false">IF(OR($O132="",$X132=""),"",$O132-$X132)</f>
        <v/>
      </c>
      <c r="BJ132" s="33" t="str">
        <f aca="false">IF(OR($P132="",$Y132=""),"",$P132-$Y132)</f>
        <v/>
      </c>
      <c r="BK132" s="34" t="str">
        <f aca="false">IF(OR($AN132="",$AO132="",$AN132=0),"",$AO132/$AN132)</f>
        <v/>
      </c>
      <c r="BL132" s="34" t="str">
        <f aca="false">IF(OR($AU132="",$AV132="",$AU132=0),"",$AV132/$AU132)</f>
        <v/>
      </c>
      <c r="BM132" s="7" t="str">
        <f aca="false">IF($Z132="","",IF(AND($Z132="Y",$AB132&lt;&gt;"N",$AC132&lt;&gt;"Y"),"Y","N"))</f>
        <v/>
      </c>
      <c r="BN132" s="7" t="str">
        <f aca="false">IF($AH132="","",IF($Z132&lt;&gt;"Y","undefined",IF($AH132&lt;=1,"Y","N")))</f>
        <v/>
      </c>
      <c r="BO132" s="7" t="str">
        <f aca="false">IF($AH132="","",IF($Z132&lt;&gt;"Y","undefined",IF($AH132&lt;=10,"Y","N")))</f>
        <v/>
      </c>
      <c r="BP132" s="7" t="str">
        <f aca="false">IF($AH132="","",IF($Z132&lt;&gt;"Y","undefined",IF($AH132&lt;=100,"Y","N")))</f>
        <v/>
      </c>
    </row>
    <row r="133" customFormat="false" ht="15" hidden="false" customHeight="false" outlineLevel="0" collapsed="false">
      <c r="A133" s="7" t="str">
        <f aca="false">IF($B133="","",$B133&amp;"|"&amp;$C133&amp;"|"&amp;$F133)</f>
        <v/>
      </c>
      <c r="B133" s="5"/>
      <c r="C133" s="5"/>
      <c r="D133" s="5"/>
      <c r="E133" s="5"/>
      <c r="F133" s="5"/>
      <c r="G133" s="5"/>
      <c r="H133" s="5"/>
      <c r="I133" s="5"/>
      <c r="J133" s="20"/>
      <c r="K133" s="20"/>
      <c r="L133" s="28"/>
      <c r="M133" s="20"/>
      <c r="N133" s="28"/>
      <c r="O133" s="19"/>
      <c r="P133" s="19"/>
      <c r="Q133" s="5"/>
      <c r="R133" s="19"/>
      <c r="S133" s="5"/>
      <c r="T133" s="20"/>
      <c r="U133" s="20"/>
      <c r="V133" s="29"/>
      <c r="W133" s="28"/>
      <c r="X133" s="19"/>
      <c r="Y133" s="19"/>
      <c r="Z133" s="5"/>
      <c r="AA133" s="19"/>
      <c r="AB133" s="5"/>
      <c r="AC133" s="5"/>
      <c r="AD133" s="5"/>
      <c r="AE133" s="5"/>
      <c r="AF133" s="30"/>
      <c r="AG133" s="30"/>
      <c r="AH133" s="30"/>
      <c r="AI133" s="30"/>
      <c r="AJ133" s="30"/>
      <c r="AK133" s="30"/>
      <c r="AL133" s="28"/>
      <c r="AM133" s="5"/>
      <c r="AN133" s="19"/>
      <c r="AO133" s="19"/>
      <c r="AP133" s="5"/>
      <c r="AQ133" s="5"/>
      <c r="AR133" s="5"/>
      <c r="AS133" s="5"/>
      <c r="AT133" s="5"/>
      <c r="AU133" s="19"/>
      <c r="AV133" s="19"/>
      <c r="AW133" s="5"/>
      <c r="AX133" s="5"/>
      <c r="AY133" s="19"/>
      <c r="AZ133" s="30"/>
      <c r="BA133" s="5"/>
      <c r="BB133" s="31" t="str">
        <f aca="false">IF(OR($T133="",$M133=""),"",$T133-$M133)</f>
        <v/>
      </c>
      <c r="BC133" s="32" t="str">
        <f aca="false">IF(OR($T133="",$M133="",$M133=0),"",($T133-$M133)/$M133)</f>
        <v/>
      </c>
      <c r="BD133" s="31" t="str">
        <f aca="false">IF(OR($U133="",$M133=""),"",$U133-$M133)</f>
        <v/>
      </c>
      <c r="BE133" s="32" t="str">
        <f aca="false">IF(OR($U133="",$M133="",$M133=0),"",($U133-$M133)/$M133)</f>
        <v/>
      </c>
      <c r="BF133" s="32" t="str">
        <f aca="false">IF(OR($U133="",$J133="",$J133=0),"",($U133-$J133)/$J133)</f>
        <v/>
      </c>
      <c r="BG133" s="32" t="str">
        <f aca="false">IF(OR($M133="",$K133="",$K133=0),"",($M133-$K133)/$K133)</f>
        <v/>
      </c>
      <c r="BH133" s="32" t="str">
        <f aca="false">IF(OR($W133="",$N133="",$N133=0),"",($W133-$N133)/$N133)</f>
        <v/>
      </c>
      <c r="BI133" s="33" t="str">
        <f aca="false">IF(OR($O133="",$X133=""),"",$O133-$X133)</f>
        <v/>
      </c>
      <c r="BJ133" s="33" t="str">
        <f aca="false">IF(OR($P133="",$Y133=""),"",$P133-$Y133)</f>
        <v/>
      </c>
      <c r="BK133" s="34" t="str">
        <f aca="false">IF(OR($AN133="",$AO133="",$AN133=0),"",$AO133/$AN133)</f>
        <v/>
      </c>
      <c r="BL133" s="34" t="str">
        <f aca="false">IF(OR($AU133="",$AV133="",$AU133=0),"",$AV133/$AU133)</f>
        <v/>
      </c>
      <c r="BM133" s="7" t="str">
        <f aca="false">IF($Z133="","",IF(AND($Z133="Y",$AB133&lt;&gt;"N",$AC133&lt;&gt;"Y"),"Y","N"))</f>
        <v/>
      </c>
      <c r="BN133" s="7" t="str">
        <f aca="false">IF($AH133="","",IF($Z133&lt;&gt;"Y","undefined",IF($AH133&lt;=1,"Y","N")))</f>
        <v/>
      </c>
      <c r="BO133" s="7" t="str">
        <f aca="false">IF($AH133="","",IF($Z133&lt;&gt;"Y","undefined",IF($AH133&lt;=10,"Y","N")))</f>
        <v/>
      </c>
      <c r="BP133" s="7" t="str">
        <f aca="false">IF($AH133="","",IF($Z133&lt;&gt;"Y","undefined",IF($AH133&lt;=100,"Y","N")))</f>
        <v/>
      </c>
    </row>
    <row r="134" customFormat="false" ht="15" hidden="false" customHeight="false" outlineLevel="0" collapsed="false">
      <c r="A134" s="7" t="str">
        <f aca="false">IF($B134="","",$B134&amp;"|"&amp;$C134&amp;"|"&amp;$F134)</f>
        <v/>
      </c>
      <c r="B134" s="5"/>
      <c r="C134" s="5"/>
      <c r="D134" s="5"/>
      <c r="E134" s="5"/>
      <c r="F134" s="5"/>
      <c r="G134" s="5"/>
      <c r="H134" s="5"/>
      <c r="I134" s="5"/>
      <c r="J134" s="20"/>
      <c r="K134" s="20"/>
      <c r="L134" s="28"/>
      <c r="M134" s="20"/>
      <c r="N134" s="28"/>
      <c r="O134" s="19"/>
      <c r="P134" s="19"/>
      <c r="Q134" s="5"/>
      <c r="R134" s="19"/>
      <c r="S134" s="5"/>
      <c r="T134" s="20"/>
      <c r="U134" s="20"/>
      <c r="V134" s="29"/>
      <c r="W134" s="28"/>
      <c r="X134" s="19"/>
      <c r="Y134" s="19"/>
      <c r="Z134" s="5"/>
      <c r="AA134" s="19"/>
      <c r="AB134" s="5"/>
      <c r="AC134" s="5"/>
      <c r="AD134" s="5"/>
      <c r="AE134" s="5"/>
      <c r="AF134" s="30"/>
      <c r="AG134" s="30"/>
      <c r="AH134" s="30"/>
      <c r="AI134" s="30"/>
      <c r="AJ134" s="30"/>
      <c r="AK134" s="30"/>
      <c r="AL134" s="28"/>
      <c r="AM134" s="5"/>
      <c r="AN134" s="19"/>
      <c r="AO134" s="19"/>
      <c r="AP134" s="5"/>
      <c r="AQ134" s="5"/>
      <c r="AR134" s="5"/>
      <c r="AS134" s="5"/>
      <c r="AT134" s="5"/>
      <c r="AU134" s="19"/>
      <c r="AV134" s="19"/>
      <c r="AW134" s="5"/>
      <c r="AX134" s="5"/>
      <c r="AY134" s="19"/>
      <c r="AZ134" s="30"/>
      <c r="BA134" s="5"/>
      <c r="BB134" s="31" t="str">
        <f aca="false">IF(OR($T134="",$M134=""),"",$T134-$M134)</f>
        <v/>
      </c>
      <c r="BC134" s="32" t="str">
        <f aca="false">IF(OR($T134="",$M134="",$M134=0),"",($T134-$M134)/$M134)</f>
        <v/>
      </c>
      <c r="BD134" s="31" t="str">
        <f aca="false">IF(OR($U134="",$M134=""),"",$U134-$M134)</f>
        <v/>
      </c>
      <c r="BE134" s="32" t="str">
        <f aca="false">IF(OR($U134="",$M134="",$M134=0),"",($U134-$M134)/$M134)</f>
        <v/>
      </c>
      <c r="BF134" s="32" t="str">
        <f aca="false">IF(OR($U134="",$J134="",$J134=0),"",($U134-$J134)/$J134)</f>
        <v/>
      </c>
      <c r="BG134" s="32" t="str">
        <f aca="false">IF(OR($M134="",$K134="",$K134=0),"",($M134-$K134)/$K134)</f>
        <v/>
      </c>
      <c r="BH134" s="32" t="str">
        <f aca="false">IF(OR($W134="",$N134="",$N134=0),"",($W134-$N134)/$N134)</f>
        <v/>
      </c>
      <c r="BI134" s="33" t="str">
        <f aca="false">IF(OR($O134="",$X134=""),"",$O134-$X134)</f>
        <v/>
      </c>
      <c r="BJ134" s="33" t="str">
        <f aca="false">IF(OR($P134="",$Y134=""),"",$P134-$Y134)</f>
        <v/>
      </c>
      <c r="BK134" s="34" t="str">
        <f aca="false">IF(OR($AN134="",$AO134="",$AN134=0),"",$AO134/$AN134)</f>
        <v/>
      </c>
      <c r="BL134" s="34" t="str">
        <f aca="false">IF(OR($AU134="",$AV134="",$AU134=0),"",$AV134/$AU134)</f>
        <v/>
      </c>
      <c r="BM134" s="7" t="str">
        <f aca="false">IF($Z134="","",IF(AND($Z134="Y",$AB134&lt;&gt;"N",$AC134&lt;&gt;"Y"),"Y","N"))</f>
        <v/>
      </c>
      <c r="BN134" s="7" t="str">
        <f aca="false">IF($AH134="","",IF($Z134&lt;&gt;"Y","undefined",IF($AH134&lt;=1,"Y","N")))</f>
        <v/>
      </c>
      <c r="BO134" s="7" t="str">
        <f aca="false">IF($AH134="","",IF($Z134&lt;&gt;"Y","undefined",IF($AH134&lt;=10,"Y","N")))</f>
        <v/>
      </c>
      <c r="BP134" s="7" t="str">
        <f aca="false">IF($AH134="","",IF($Z134&lt;&gt;"Y","undefined",IF($AH134&lt;=100,"Y","N")))</f>
        <v/>
      </c>
    </row>
    <row r="135" customFormat="false" ht="15" hidden="false" customHeight="false" outlineLevel="0" collapsed="false">
      <c r="A135" s="7" t="str">
        <f aca="false">IF($B135="","",$B135&amp;"|"&amp;$C135&amp;"|"&amp;$F135)</f>
        <v/>
      </c>
      <c r="B135" s="5"/>
      <c r="C135" s="5"/>
      <c r="D135" s="5"/>
      <c r="E135" s="5"/>
      <c r="F135" s="5"/>
      <c r="G135" s="5"/>
      <c r="H135" s="5"/>
      <c r="I135" s="5"/>
      <c r="J135" s="20"/>
      <c r="K135" s="20"/>
      <c r="L135" s="28"/>
      <c r="M135" s="20"/>
      <c r="N135" s="28"/>
      <c r="O135" s="19"/>
      <c r="P135" s="19"/>
      <c r="Q135" s="5"/>
      <c r="R135" s="19"/>
      <c r="S135" s="5"/>
      <c r="T135" s="20"/>
      <c r="U135" s="20"/>
      <c r="V135" s="29"/>
      <c r="W135" s="28"/>
      <c r="X135" s="19"/>
      <c r="Y135" s="19"/>
      <c r="Z135" s="5"/>
      <c r="AA135" s="19"/>
      <c r="AB135" s="5"/>
      <c r="AC135" s="5"/>
      <c r="AD135" s="5"/>
      <c r="AE135" s="5"/>
      <c r="AF135" s="30"/>
      <c r="AG135" s="30"/>
      <c r="AH135" s="30"/>
      <c r="AI135" s="30"/>
      <c r="AJ135" s="30"/>
      <c r="AK135" s="30"/>
      <c r="AL135" s="28"/>
      <c r="AM135" s="5"/>
      <c r="AN135" s="19"/>
      <c r="AO135" s="19"/>
      <c r="AP135" s="5"/>
      <c r="AQ135" s="5"/>
      <c r="AR135" s="5"/>
      <c r="AS135" s="5"/>
      <c r="AT135" s="5"/>
      <c r="AU135" s="19"/>
      <c r="AV135" s="19"/>
      <c r="AW135" s="5"/>
      <c r="AX135" s="5"/>
      <c r="AY135" s="19"/>
      <c r="AZ135" s="30"/>
      <c r="BA135" s="5"/>
      <c r="BB135" s="31" t="str">
        <f aca="false">IF(OR($T135="",$M135=""),"",$T135-$M135)</f>
        <v/>
      </c>
      <c r="BC135" s="32" t="str">
        <f aca="false">IF(OR($T135="",$M135="",$M135=0),"",($T135-$M135)/$M135)</f>
        <v/>
      </c>
      <c r="BD135" s="31" t="str">
        <f aca="false">IF(OR($U135="",$M135=""),"",$U135-$M135)</f>
        <v/>
      </c>
      <c r="BE135" s="32" t="str">
        <f aca="false">IF(OR($U135="",$M135="",$M135=0),"",($U135-$M135)/$M135)</f>
        <v/>
      </c>
      <c r="BF135" s="32" t="str">
        <f aca="false">IF(OR($U135="",$J135="",$J135=0),"",($U135-$J135)/$J135)</f>
        <v/>
      </c>
      <c r="BG135" s="32" t="str">
        <f aca="false">IF(OR($M135="",$K135="",$K135=0),"",($M135-$K135)/$K135)</f>
        <v/>
      </c>
      <c r="BH135" s="32" t="str">
        <f aca="false">IF(OR($W135="",$N135="",$N135=0),"",($W135-$N135)/$N135)</f>
        <v/>
      </c>
      <c r="BI135" s="33" t="str">
        <f aca="false">IF(OR($O135="",$X135=""),"",$O135-$X135)</f>
        <v/>
      </c>
      <c r="BJ135" s="33" t="str">
        <f aca="false">IF(OR($P135="",$Y135=""),"",$P135-$Y135)</f>
        <v/>
      </c>
      <c r="BK135" s="34" t="str">
        <f aca="false">IF(OR($AN135="",$AO135="",$AN135=0),"",$AO135/$AN135)</f>
        <v/>
      </c>
      <c r="BL135" s="34" t="str">
        <f aca="false">IF(OR($AU135="",$AV135="",$AU135=0),"",$AV135/$AU135)</f>
        <v/>
      </c>
      <c r="BM135" s="7" t="str">
        <f aca="false">IF($Z135="","",IF(AND($Z135="Y",$AB135&lt;&gt;"N",$AC135&lt;&gt;"Y"),"Y","N"))</f>
        <v/>
      </c>
      <c r="BN135" s="7" t="str">
        <f aca="false">IF($AH135="","",IF($Z135&lt;&gt;"Y","undefined",IF($AH135&lt;=1,"Y","N")))</f>
        <v/>
      </c>
      <c r="BO135" s="7" t="str">
        <f aca="false">IF($AH135="","",IF($Z135&lt;&gt;"Y","undefined",IF($AH135&lt;=10,"Y","N")))</f>
        <v/>
      </c>
      <c r="BP135" s="7" t="str">
        <f aca="false">IF($AH135="","",IF($Z135&lt;&gt;"Y","undefined",IF($AH135&lt;=100,"Y","N")))</f>
        <v/>
      </c>
    </row>
    <row r="136" customFormat="false" ht="15" hidden="false" customHeight="false" outlineLevel="0" collapsed="false">
      <c r="A136" s="7" t="str">
        <f aca="false">IF($B136="","",$B136&amp;"|"&amp;$C136&amp;"|"&amp;$F136)</f>
        <v/>
      </c>
      <c r="B136" s="5"/>
      <c r="C136" s="5"/>
      <c r="D136" s="5"/>
      <c r="E136" s="5"/>
      <c r="F136" s="5"/>
      <c r="G136" s="5"/>
      <c r="H136" s="5"/>
      <c r="I136" s="5"/>
      <c r="J136" s="20"/>
      <c r="K136" s="20"/>
      <c r="L136" s="28"/>
      <c r="M136" s="20"/>
      <c r="N136" s="28"/>
      <c r="O136" s="19"/>
      <c r="P136" s="19"/>
      <c r="Q136" s="5"/>
      <c r="R136" s="19"/>
      <c r="S136" s="5"/>
      <c r="T136" s="20"/>
      <c r="U136" s="20"/>
      <c r="V136" s="29"/>
      <c r="W136" s="28"/>
      <c r="X136" s="19"/>
      <c r="Y136" s="19"/>
      <c r="Z136" s="5"/>
      <c r="AA136" s="19"/>
      <c r="AB136" s="5"/>
      <c r="AC136" s="5"/>
      <c r="AD136" s="5"/>
      <c r="AE136" s="5"/>
      <c r="AF136" s="30"/>
      <c r="AG136" s="30"/>
      <c r="AH136" s="30"/>
      <c r="AI136" s="30"/>
      <c r="AJ136" s="30"/>
      <c r="AK136" s="30"/>
      <c r="AL136" s="28"/>
      <c r="AM136" s="5"/>
      <c r="AN136" s="19"/>
      <c r="AO136" s="19"/>
      <c r="AP136" s="5"/>
      <c r="AQ136" s="5"/>
      <c r="AR136" s="5"/>
      <c r="AS136" s="5"/>
      <c r="AT136" s="5"/>
      <c r="AU136" s="19"/>
      <c r="AV136" s="19"/>
      <c r="AW136" s="5"/>
      <c r="AX136" s="5"/>
      <c r="AY136" s="19"/>
      <c r="AZ136" s="30"/>
      <c r="BA136" s="5"/>
      <c r="BB136" s="31" t="str">
        <f aca="false">IF(OR($T136="",$M136=""),"",$T136-$M136)</f>
        <v/>
      </c>
      <c r="BC136" s="32" t="str">
        <f aca="false">IF(OR($T136="",$M136="",$M136=0),"",($T136-$M136)/$M136)</f>
        <v/>
      </c>
      <c r="BD136" s="31" t="str">
        <f aca="false">IF(OR($U136="",$M136=""),"",$U136-$M136)</f>
        <v/>
      </c>
      <c r="BE136" s="32" t="str">
        <f aca="false">IF(OR($U136="",$M136="",$M136=0),"",($U136-$M136)/$M136)</f>
        <v/>
      </c>
      <c r="BF136" s="32" t="str">
        <f aca="false">IF(OR($U136="",$J136="",$J136=0),"",($U136-$J136)/$J136)</f>
        <v/>
      </c>
      <c r="BG136" s="32" t="str">
        <f aca="false">IF(OR($M136="",$K136="",$K136=0),"",($M136-$K136)/$K136)</f>
        <v/>
      </c>
      <c r="BH136" s="32" t="str">
        <f aca="false">IF(OR($W136="",$N136="",$N136=0),"",($W136-$N136)/$N136)</f>
        <v/>
      </c>
      <c r="BI136" s="33" t="str">
        <f aca="false">IF(OR($O136="",$X136=""),"",$O136-$X136)</f>
        <v/>
      </c>
      <c r="BJ136" s="33" t="str">
        <f aca="false">IF(OR($P136="",$Y136=""),"",$P136-$Y136)</f>
        <v/>
      </c>
      <c r="BK136" s="34" t="str">
        <f aca="false">IF(OR($AN136="",$AO136="",$AN136=0),"",$AO136/$AN136)</f>
        <v/>
      </c>
      <c r="BL136" s="34" t="str">
        <f aca="false">IF(OR($AU136="",$AV136="",$AU136=0),"",$AV136/$AU136)</f>
        <v/>
      </c>
      <c r="BM136" s="7" t="str">
        <f aca="false">IF($Z136="","",IF(AND($Z136="Y",$AB136&lt;&gt;"N",$AC136&lt;&gt;"Y"),"Y","N"))</f>
        <v/>
      </c>
      <c r="BN136" s="7" t="str">
        <f aca="false">IF($AH136="","",IF($Z136&lt;&gt;"Y","undefined",IF($AH136&lt;=1,"Y","N")))</f>
        <v/>
      </c>
      <c r="BO136" s="7" t="str">
        <f aca="false">IF($AH136="","",IF($Z136&lt;&gt;"Y","undefined",IF($AH136&lt;=10,"Y","N")))</f>
        <v/>
      </c>
      <c r="BP136" s="7" t="str">
        <f aca="false">IF($AH136="","",IF($Z136&lt;&gt;"Y","undefined",IF($AH136&lt;=100,"Y","N")))</f>
        <v/>
      </c>
    </row>
    <row r="137" customFormat="false" ht="15" hidden="false" customHeight="false" outlineLevel="0" collapsed="false">
      <c r="A137" s="7" t="str">
        <f aca="false">IF($B137="","",$B137&amp;"|"&amp;$C137&amp;"|"&amp;$F137)</f>
        <v/>
      </c>
      <c r="B137" s="5"/>
      <c r="C137" s="5"/>
      <c r="D137" s="5"/>
      <c r="E137" s="5"/>
      <c r="F137" s="5"/>
      <c r="G137" s="5"/>
      <c r="H137" s="5"/>
      <c r="I137" s="5"/>
      <c r="J137" s="20"/>
      <c r="K137" s="20"/>
      <c r="L137" s="28"/>
      <c r="M137" s="20"/>
      <c r="N137" s="28"/>
      <c r="O137" s="19"/>
      <c r="P137" s="19"/>
      <c r="Q137" s="5"/>
      <c r="R137" s="19"/>
      <c r="S137" s="5"/>
      <c r="T137" s="20"/>
      <c r="U137" s="20"/>
      <c r="V137" s="29"/>
      <c r="W137" s="28"/>
      <c r="X137" s="19"/>
      <c r="Y137" s="19"/>
      <c r="Z137" s="5"/>
      <c r="AA137" s="19"/>
      <c r="AB137" s="5"/>
      <c r="AC137" s="5"/>
      <c r="AD137" s="5"/>
      <c r="AE137" s="5"/>
      <c r="AF137" s="30"/>
      <c r="AG137" s="30"/>
      <c r="AH137" s="30"/>
      <c r="AI137" s="30"/>
      <c r="AJ137" s="30"/>
      <c r="AK137" s="30"/>
      <c r="AL137" s="28"/>
      <c r="AM137" s="5"/>
      <c r="AN137" s="19"/>
      <c r="AO137" s="19"/>
      <c r="AP137" s="5"/>
      <c r="AQ137" s="5"/>
      <c r="AR137" s="5"/>
      <c r="AS137" s="5"/>
      <c r="AT137" s="5"/>
      <c r="AU137" s="19"/>
      <c r="AV137" s="19"/>
      <c r="AW137" s="5"/>
      <c r="AX137" s="5"/>
      <c r="AY137" s="19"/>
      <c r="AZ137" s="30"/>
      <c r="BA137" s="5"/>
      <c r="BB137" s="31" t="str">
        <f aca="false">IF(OR($T137="",$M137=""),"",$T137-$M137)</f>
        <v/>
      </c>
      <c r="BC137" s="32" t="str">
        <f aca="false">IF(OR($T137="",$M137="",$M137=0),"",($T137-$M137)/$M137)</f>
        <v/>
      </c>
      <c r="BD137" s="31" t="str">
        <f aca="false">IF(OR($U137="",$M137=""),"",$U137-$M137)</f>
        <v/>
      </c>
      <c r="BE137" s="32" t="str">
        <f aca="false">IF(OR($U137="",$M137="",$M137=0),"",($U137-$M137)/$M137)</f>
        <v/>
      </c>
      <c r="BF137" s="32" t="str">
        <f aca="false">IF(OR($U137="",$J137="",$J137=0),"",($U137-$J137)/$J137)</f>
        <v/>
      </c>
      <c r="BG137" s="32" t="str">
        <f aca="false">IF(OR($M137="",$K137="",$K137=0),"",($M137-$K137)/$K137)</f>
        <v/>
      </c>
      <c r="BH137" s="32" t="str">
        <f aca="false">IF(OR($W137="",$N137="",$N137=0),"",($W137-$N137)/$N137)</f>
        <v/>
      </c>
      <c r="BI137" s="33" t="str">
        <f aca="false">IF(OR($O137="",$X137=""),"",$O137-$X137)</f>
        <v/>
      </c>
      <c r="BJ137" s="33" t="str">
        <f aca="false">IF(OR($P137="",$Y137=""),"",$P137-$Y137)</f>
        <v/>
      </c>
      <c r="BK137" s="34" t="str">
        <f aca="false">IF(OR($AN137="",$AO137="",$AN137=0),"",$AO137/$AN137)</f>
        <v/>
      </c>
      <c r="BL137" s="34" t="str">
        <f aca="false">IF(OR($AU137="",$AV137="",$AU137=0),"",$AV137/$AU137)</f>
        <v/>
      </c>
      <c r="BM137" s="7" t="str">
        <f aca="false">IF($Z137="","",IF(AND($Z137="Y",$AB137&lt;&gt;"N",$AC137&lt;&gt;"Y"),"Y","N"))</f>
        <v/>
      </c>
      <c r="BN137" s="7" t="str">
        <f aca="false">IF($AH137="","",IF($Z137&lt;&gt;"Y","undefined",IF($AH137&lt;=1,"Y","N")))</f>
        <v/>
      </c>
      <c r="BO137" s="7" t="str">
        <f aca="false">IF($AH137="","",IF($Z137&lt;&gt;"Y","undefined",IF($AH137&lt;=10,"Y","N")))</f>
        <v/>
      </c>
      <c r="BP137" s="7" t="str">
        <f aca="false">IF($AH137="","",IF($Z137&lt;&gt;"Y","undefined",IF($AH137&lt;=100,"Y","N")))</f>
        <v/>
      </c>
    </row>
    <row r="138" customFormat="false" ht="15" hidden="false" customHeight="false" outlineLevel="0" collapsed="false">
      <c r="A138" s="7" t="str">
        <f aca="false">IF($B138="","",$B138&amp;"|"&amp;$C138&amp;"|"&amp;$F138)</f>
        <v/>
      </c>
      <c r="B138" s="5"/>
      <c r="C138" s="5"/>
      <c r="D138" s="5"/>
      <c r="E138" s="5"/>
      <c r="F138" s="5"/>
      <c r="G138" s="5"/>
      <c r="H138" s="5"/>
      <c r="I138" s="5"/>
      <c r="J138" s="20"/>
      <c r="K138" s="20"/>
      <c r="L138" s="28"/>
      <c r="M138" s="20"/>
      <c r="N138" s="28"/>
      <c r="O138" s="19"/>
      <c r="P138" s="19"/>
      <c r="Q138" s="5"/>
      <c r="R138" s="19"/>
      <c r="S138" s="5"/>
      <c r="T138" s="20"/>
      <c r="U138" s="20"/>
      <c r="V138" s="29"/>
      <c r="W138" s="28"/>
      <c r="X138" s="19"/>
      <c r="Y138" s="19"/>
      <c r="Z138" s="5"/>
      <c r="AA138" s="19"/>
      <c r="AB138" s="5"/>
      <c r="AC138" s="5"/>
      <c r="AD138" s="5"/>
      <c r="AE138" s="5"/>
      <c r="AF138" s="30"/>
      <c r="AG138" s="30"/>
      <c r="AH138" s="30"/>
      <c r="AI138" s="30"/>
      <c r="AJ138" s="30"/>
      <c r="AK138" s="30"/>
      <c r="AL138" s="28"/>
      <c r="AM138" s="5"/>
      <c r="AN138" s="19"/>
      <c r="AO138" s="19"/>
      <c r="AP138" s="5"/>
      <c r="AQ138" s="5"/>
      <c r="AR138" s="5"/>
      <c r="AS138" s="5"/>
      <c r="AT138" s="5"/>
      <c r="AU138" s="19"/>
      <c r="AV138" s="19"/>
      <c r="AW138" s="5"/>
      <c r="AX138" s="5"/>
      <c r="AY138" s="19"/>
      <c r="AZ138" s="30"/>
      <c r="BA138" s="5"/>
      <c r="BB138" s="31" t="str">
        <f aca="false">IF(OR($T138="",$M138=""),"",$T138-$M138)</f>
        <v/>
      </c>
      <c r="BC138" s="32" t="str">
        <f aca="false">IF(OR($T138="",$M138="",$M138=0),"",($T138-$M138)/$M138)</f>
        <v/>
      </c>
      <c r="BD138" s="31" t="str">
        <f aca="false">IF(OR($U138="",$M138=""),"",$U138-$M138)</f>
        <v/>
      </c>
      <c r="BE138" s="32" t="str">
        <f aca="false">IF(OR($U138="",$M138="",$M138=0),"",($U138-$M138)/$M138)</f>
        <v/>
      </c>
      <c r="BF138" s="32" t="str">
        <f aca="false">IF(OR($U138="",$J138="",$J138=0),"",($U138-$J138)/$J138)</f>
        <v/>
      </c>
      <c r="BG138" s="32" t="str">
        <f aca="false">IF(OR($M138="",$K138="",$K138=0),"",($M138-$K138)/$K138)</f>
        <v/>
      </c>
      <c r="BH138" s="32" t="str">
        <f aca="false">IF(OR($W138="",$N138="",$N138=0),"",($W138-$N138)/$N138)</f>
        <v/>
      </c>
      <c r="BI138" s="33" t="str">
        <f aca="false">IF(OR($O138="",$X138=""),"",$O138-$X138)</f>
        <v/>
      </c>
      <c r="BJ138" s="33" t="str">
        <f aca="false">IF(OR($P138="",$Y138=""),"",$P138-$Y138)</f>
        <v/>
      </c>
      <c r="BK138" s="34" t="str">
        <f aca="false">IF(OR($AN138="",$AO138="",$AN138=0),"",$AO138/$AN138)</f>
        <v/>
      </c>
      <c r="BL138" s="34" t="str">
        <f aca="false">IF(OR($AU138="",$AV138="",$AU138=0),"",$AV138/$AU138)</f>
        <v/>
      </c>
      <c r="BM138" s="7" t="str">
        <f aca="false">IF($Z138="","",IF(AND($Z138="Y",$AB138&lt;&gt;"N",$AC138&lt;&gt;"Y"),"Y","N"))</f>
        <v/>
      </c>
      <c r="BN138" s="7" t="str">
        <f aca="false">IF($AH138="","",IF($Z138&lt;&gt;"Y","undefined",IF($AH138&lt;=1,"Y","N")))</f>
        <v/>
      </c>
      <c r="BO138" s="7" t="str">
        <f aca="false">IF($AH138="","",IF($Z138&lt;&gt;"Y","undefined",IF($AH138&lt;=10,"Y","N")))</f>
        <v/>
      </c>
      <c r="BP138" s="7" t="str">
        <f aca="false">IF($AH138="","",IF($Z138&lt;&gt;"Y","undefined",IF($AH138&lt;=100,"Y","N")))</f>
        <v/>
      </c>
    </row>
    <row r="139" customFormat="false" ht="15" hidden="false" customHeight="false" outlineLevel="0" collapsed="false">
      <c r="A139" s="7" t="str">
        <f aca="false">IF($B139="","",$B139&amp;"|"&amp;$C139&amp;"|"&amp;$F139)</f>
        <v/>
      </c>
      <c r="B139" s="5"/>
      <c r="C139" s="5"/>
      <c r="D139" s="5"/>
      <c r="E139" s="5"/>
      <c r="F139" s="5"/>
      <c r="G139" s="5"/>
      <c r="H139" s="5"/>
      <c r="I139" s="5"/>
      <c r="J139" s="20"/>
      <c r="K139" s="20"/>
      <c r="L139" s="28"/>
      <c r="M139" s="20"/>
      <c r="N139" s="28"/>
      <c r="O139" s="19"/>
      <c r="P139" s="19"/>
      <c r="Q139" s="5"/>
      <c r="R139" s="19"/>
      <c r="S139" s="5"/>
      <c r="T139" s="20"/>
      <c r="U139" s="20"/>
      <c r="V139" s="29"/>
      <c r="W139" s="28"/>
      <c r="X139" s="19"/>
      <c r="Y139" s="19"/>
      <c r="Z139" s="5"/>
      <c r="AA139" s="19"/>
      <c r="AB139" s="5"/>
      <c r="AC139" s="5"/>
      <c r="AD139" s="5"/>
      <c r="AE139" s="5"/>
      <c r="AF139" s="30"/>
      <c r="AG139" s="30"/>
      <c r="AH139" s="30"/>
      <c r="AI139" s="30"/>
      <c r="AJ139" s="30"/>
      <c r="AK139" s="30"/>
      <c r="AL139" s="28"/>
      <c r="AM139" s="5"/>
      <c r="AN139" s="19"/>
      <c r="AO139" s="19"/>
      <c r="AP139" s="5"/>
      <c r="AQ139" s="5"/>
      <c r="AR139" s="5"/>
      <c r="AS139" s="5"/>
      <c r="AT139" s="5"/>
      <c r="AU139" s="19"/>
      <c r="AV139" s="19"/>
      <c r="AW139" s="5"/>
      <c r="AX139" s="5"/>
      <c r="AY139" s="19"/>
      <c r="AZ139" s="30"/>
      <c r="BA139" s="5"/>
      <c r="BB139" s="31" t="str">
        <f aca="false">IF(OR($T139="",$M139=""),"",$T139-$M139)</f>
        <v/>
      </c>
      <c r="BC139" s="32" t="str">
        <f aca="false">IF(OR($T139="",$M139="",$M139=0),"",($T139-$M139)/$M139)</f>
        <v/>
      </c>
      <c r="BD139" s="31" t="str">
        <f aca="false">IF(OR($U139="",$M139=""),"",$U139-$M139)</f>
        <v/>
      </c>
      <c r="BE139" s="32" t="str">
        <f aca="false">IF(OR($U139="",$M139="",$M139=0),"",($U139-$M139)/$M139)</f>
        <v/>
      </c>
      <c r="BF139" s="32" t="str">
        <f aca="false">IF(OR($U139="",$J139="",$J139=0),"",($U139-$J139)/$J139)</f>
        <v/>
      </c>
      <c r="BG139" s="32" t="str">
        <f aca="false">IF(OR($M139="",$K139="",$K139=0),"",($M139-$K139)/$K139)</f>
        <v/>
      </c>
      <c r="BH139" s="32" t="str">
        <f aca="false">IF(OR($W139="",$N139="",$N139=0),"",($W139-$N139)/$N139)</f>
        <v/>
      </c>
      <c r="BI139" s="33" t="str">
        <f aca="false">IF(OR($O139="",$X139=""),"",$O139-$X139)</f>
        <v/>
      </c>
      <c r="BJ139" s="33" t="str">
        <f aca="false">IF(OR($P139="",$Y139=""),"",$P139-$Y139)</f>
        <v/>
      </c>
      <c r="BK139" s="34" t="str">
        <f aca="false">IF(OR($AN139="",$AO139="",$AN139=0),"",$AO139/$AN139)</f>
        <v/>
      </c>
      <c r="BL139" s="34" t="str">
        <f aca="false">IF(OR($AU139="",$AV139="",$AU139=0),"",$AV139/$AU139)</f>
        <v/>
      </c>
      <c r="BM139" s="7" t="str">
        <f aca="false">IF($Z139="","",IF(AND($Z139="Y",$AB139&lt;&gt;"N",$AC139&lt;&gt;"Y"),"Y","N"))</f>
        <v/>
      </c>
      <c r="BN139" s="7" t="str">
        <f aca="false">IF($AH139="","",IF($Z139&lt;&gt;"Y","undefined",IF($AH139&lt;=1,"Y","N")))</f>
        <v/>
      </c>
      <c r="BO139" s="7" t="str">
        <f aca="false">IF($AH139="","",IF($Z139&lt;&gt;"Y","undefined",IF($AH139&lt;=10,"Y","N")))</f>
        <v/>
      </c>
      <c r="BP139" s="7" t="str">
        <f aca="false">IF($AH139="","",IF($Z139&lt;&gt;"Y","undefined",IF($AH139&lt;=100,"Y","N")))</f>
        <v/>
      </c>
    </row>
    <row r="140" customFormat="false" ht="15" hidden="false" customHeight="false" outlineLevel="0" collapsed="false">
      <c r="A140" s="7" t="str">
        <f aca="false">IF($B140="","",$B140&amp;"|"&amp;$C140&amp;"|"&amp;$F140)</f>
        <v/>
      </c>
      <c r="B140" s="5"/>
      <c r="C140" s="5"/>
      <c r="D140" s="5"/>
      <c r="E140" s="5"/>
      <c r="F140" s="5"/>
      <c r="G140" s="5"/>
      <c r="H140" s="5"/>
      <c r="I140" s="5"/>
      <c r="J140" s="20"/>
      <c r="K140" s="20"/>
      <c r="L140" s="28"/>
      <c r="M140" s="20"/>
      <c r="N140" s="28"/>
      <c r="O140" s="19"/>
      <c r="P140" s="19"/>
      <c r="Q140" s="5"/>
      <c r="R140" s="19"/>
      <c r="S140" s="5"/>
      <c r="T140" s="20"/>
      <c r="U140" s="20"/>
      <c r="V140" s="29"/>
      <c r="W140" s="28"/>
      <c r="X140" s="19"/>
      <c r="Y140" s="19"/>
      <c r="Z140" s="5"/>
      <c r="AA140" s="19"/>
      <c r="AB140" s="5"/>
      <c r="AC140" s="5"/>
      <c r="AD140" s="5"/>
      <c r="AE140" s="5"/>
      <c r="AF140" s="30"/>
      <c r="AG140" s="30"/>
      <c r="AH140" s="30"/>
      <c r="AI140" s="30"/>
      <c r="AJ140" s="30"/>
      <c r="AK140" s="30"/>
      <c r="AL140" s="28"/>
      <c r="AM140" s="5"/>
      <c r="AN140" s="19"/>
      <c r="AO140" s="19"/>
      <c r="AP140" s="5"/>
      <c r="AQ140" s="5"/>
      <c r="AR140" s="5"/>
      <c r="AS140" s="5"/>
      <c r="AT140" s="5"/>
      <c r="AU140" s="19"/>
      <c r="AV140" s="19"/>
      <c r="AW140" s="5"/>
      <c r="AX140" s="5"/>
      <c r="AY140" s="19"/>
      <c r="AZ140" s="30"/>
      <c r="BA140" s="5"/>
      <c r="BB140" s="31" t="str">
        <f aca="false">IF(OR($T140="",$M140=""),"",$T140-$M140)</f>
        <v/>
      </c>
      <c r="BC140" s="32" t="str">
        <f aca="false">IF(OR($T140="",$M140="",$M140=0),"",($T140-$M140)/$M140)</f>
        <v/>
      </c>
      <c r="BD140" s="31" t="str">
        <f aca="false">IF(OR($U140="",$M140=""),"",$U140-$M140)</f>
        <v/>
      </c>
      <c r="BE140" s="32" t="str">
        <f aca="false">IF(OR($U140="",$M140="",$M140=0),"",($U140-$M140)/$M140)</f>
        <v/>
      </c>
      <c r="BF140" s="32" t="str">
        <f aca="false">IF(OR($U140="",$J140="",$J140=0),"",($U140-$J140)/$J140)</f>
        <v/>
      </c>
      <c r="BG140" s="32" t="str">
        <f aca="false">IF(OR($M140="",$K140="",$K140=0),"",($M140-$K140)/$K140)</f>
        <v/>
      </c>
      <c r="BH140" s="32" t="str">
        <f aca="false">IF(OR($W140="",$N140="",$N140=0),"",($W140-$N140)/$N140)</f>
        <v/>
      </c>
      <c r="BI140" s="33" t="str">
        <f aca="false">IF(OR($O140="",$X140=""),"",$O140-$X140)</f>
        <v/>
      </c>
      <c r="BJ140" s="33" t="str">
        <f aca="false">IF(OR($P140="",$Y140=""),"",$P140-$Y140)</f>
        <v/>
      </c>
      <c r="BK140" s="34" t="str">
        <f aca="false">IF(OR($AN140="",$AO140="",$AN140=0),"",$AO140/$AN140)</f>
        <v/>
      </c>
      <c r="BL140" s="34" t="str">
        <f aca="false">IF(OR($AU140="",$AV140="",$AU140=0),"",$AV140/$AU140)</f>
        <v/>
      </c>
      <c r="BM140" s="7" t="str">
        <f aca="false">IF($Z140="","",IF(AND($Z140="Y",$AB140&lt;&gt;"N",$AC140&lt;&gt;"Y"),"Y","N"))</f>
        <v/>
      </c>
      <c r="BN140" s="7" t="str">
        <f aca="false">IF($AH140="","",IF($Z140&lt;&gt;"Y","undefined",IF($AH140&lt;=1,"Y","N")))</f>
        <v/>
      </c>
      <c r="BO140" s="7" t="str">
        <f aca="false">IF($AH140="","",IF($Z140&lt;&gt;"Y","undefined",IF($AH140&lt;=10,"Y","N")))</f>
        <v/>
      </c>
      <c r="BP140" s="7" t="str">
        <f aca="false">IF($AH140="","",IF($Z140&lt;&gt;"Y","undefined",IF($AH140&lt;=100,"Y","N")))</f>
        <v/>
      </c>
    </row>
    <row r="141" customFormat="false" ht="15" hidden="false" customHeight="false" outlineLevel="0" collapsed="false">
      <c r="A141" s="7" t="str">
        <f aca="false">IF($B141="","",$B141&amp;"|"&amp;$C141&amp;"|"&amp;$F141)</f>
        <v/>
      </c>
      <c r="B141" s="5"/>
      <c r="C141" s="5"/>
      <c r="D141" s="5"/>
      <c r="E141" s="5"/>
      <c r="F141" s="5"/>
      <c r="G141" s="5"/>
      <c r="H141" s="5"/>
      <c r="I141" s="5"/>
      <c r="J141" s="20"/>
      <c r="K141" s="20"/>
      <c r="L141" s="28"/>
      <c r="M141" s="20"/>
      <c r="N141" s="28"/>
      <c r="O141" s="19"/>
      <c r="P141" s="19"/>
      <c r="Q141" s="5"/>
      <c r="R141" s="19"/>
      <c r="S141" s="5"/>
      <c r="T141" s="20"/>
      <c r="U141" s="20"/>
      <c r="V141" s="29"/>
      <c r="W141" s="28"/>
      <c r="X141" s="19"/>
      <c r="Y141" s="19"/>
      <c r="Z141" s="5"/>
      <c r="AA141" s="19"/>
      <c r="AB141" s="5"/>
      <c r="AC141" s="5"/>
      <c r="AD141" s="5"/>
      <c r="AE141" s="5"/>
      <c r="AF141" s="30"/>
      <c r="AG141" s="30"/>
      <c r="AH141" s="30"/>
      <c r="AI141" s="30"/>
      <c r="AJ141" s="30"/>
      <c r="AK141" s="30"/>
      <c r="AL141" s="28"/>
      <c r="AM141" s="5"/>
      <c r="AN141" s="19"/>
      <c r="AO141" s="19"/>
      <c r="AP141" s="5"/>
      <c r="AQ141" s="5"/>
      <c r="AR141" s="5"/>
      <c r="AS141" s="5"/>
      <c r="AT141" s="5"/>
      <c r="AU141" s="19"/>
      <c r="AV141" s="19"/>
      <c r="AW141" s="5"/>
      <c r="AX141" s="5"/>
      <c r="AY141" s="19"/>
      <c r="AZ141" s="30"/>
      <c r="BA141" s="5"/>
      <c r="BB141" s="31" t="str">
        <f aca="false">IF(OR($T141="",$M141=""),"",$T141-$M141)</f>
        <v/>
      </c>
      <c r="BC141" s="32" t="str">
        <f aca="false">IF(OR($T141="",$M141="",$M141=0),"",($T141-$M141)/$M141)</f>
        <v/>
      </c>
      <c r="BD141" s="31" t="str">
        <f aca="false">IF(OR($U141="",$M141=""),"",$U141-$M141)</f>
        <v/>
      </c>
      <c r="BE141" s="32" t="str">
        <f aca="false">IF(OR($U141="",$M141="",$M141=0),"",($U141-$M141)/$M141)</f>
        <v/>
      </c>
      <c r="BF141" s="32" t="str">
        <f aca="false">IF(OR($U141="",$J141="",$J141=0),"",($U141-$J141)/$J141)</f>
        <v/>
      </c>
      <c r="BG141" s="32" t="str">
        <f aca="false">IF(OR($M141="",$K141="",$K141=0),"",($M141-$K141)/$K141)</f>
        <v/>
      </c>
      <c r="BH141" s="32" t="str">
        <f aca="false">IF(OR($W141="",$N141="",$N141=0),"",($W141-$N141)/$N141)</f>
        <v/>
      </c>
      <c r="BI141" s="33" t="str">
        <f aca="false">IF(OR($O141="",$X141=""),"",$O141-$X141)</f>
        <v/>
      </c>
      <c r="BJ141" s="33" t="str">
        <f aca="false">IF(OR($P141="",$Y141=""),"",$P141-$Y141)</f>
        <v/>
      </c>
      <c r="BK141" s="34" t="str">
        <f aca="false">IF(OR($AN141="",$AO141="",$AN141=0),"",$AO141/$AN141)</f>
        <v/>
      </c>
      <c r="BL141" s="34" t="str">
        <f aca="false">IF(OR($AU141="",$AV141="",$AU141=0),"",$AV141/$AU141)</f>
        <v/>
      </c>
      <c r="BM141" s="7" t="str">
        <f aca="false">IF($Z141="","",IF(AND($Z141="Y",$AB141&lt;&gt;"N",$AC141&lt;&gt;"Y"),"Y","N"))</f>
        <v/>
      </c>
      <c r="BN141" s="7" t="str">
        <f aca="false">IF($AH141="","",IF($Z141&lt;&gt;"Y","undefined",IF($AH141&lt;=1,"Y","N")))</f>
        <v/>
      </c>
      <c r="BO141" s="7" t="str">
        <f aca="false">IF($AH141="","",IF($Z141&lt;&gt;"Y","undefined",IF($AH141&lt;=10,"Y","N")))</f>
        <v/>
      </c>
      <c r="BP141" s="7" t="str">
        <f aca="false">IF($AH141="","",IF($Z141&lt;&gt;"Y","undefined",IF($AH141&lt;=100,"Y","N")))</f>
        <v/>
      </c>
    </row>
    <row r="142" customFormat="false" ht="15" hidden="false" customHeight="false" outlineLevel="0" collapsed="false">
      <c r="A142" s="7" t="str">
        <f aca="false">IF($B142="","",$B142&amp;"|"&amp;$C142&amp;"|"&amp;$F142)</f>
        <v/>
      </c>
      <c r="B142" s="5"/>
      <c r="C142" s="5"/>
      <c r="D142" s="5"/>
      <c r="E142" s="5"/>
      <c r="F142" s="5"/>
      <c r="G142" s="5"/>
      <c r="H142" s="5"/>
      <c r="I142" s="5"/>
      <c r="J142" s="20"/>
      <c r="K142" s="20"/>
      <c r="L142" s="28"/>
      <c r="M142" s="20"/>
      <c r="N142" s="28"/>
      <c r="O142" s="19"/>
      <c r="P142" s="19"/>
      <c r="Q142" s="5"/>
      <c r="R142" s="19"/>
      <c r="S142" s="5"/>
      <c r="T142" s="20"/>
      <c r="U142" s="20"/>
      <c r="V142" s="29"/>
      <c r="W142" s="28"/>
      <c r="X142" s="19"/>
      <c r="Y142" s="19"/>
      <c r="Z142" s="5"/>
      <c r="AA142" s="19"/>
      <c r="AB142" s="5"/>
      <c r="AC142" s="5"/>
      <c r="AD142" s="5"/>
      <c r="AE142" s="5"/>
      <c r="AF142" s="30"/>
      <c r="AG142" s="30"/>
      <c r="AH142" s="30"/>
      <c r="AI142" s="30"/>
      <c r="AJ142" s="30"/>
      <c r="AK142" s="30"/>
      <c r="AL142" s="28"/>
      <c r="AM142" s="5"/>
      <c r="AN142" s="19"/>
      <c r="AO142" s="19"/>
      <c r="AP142" s="5"/>
      <c r="AQ142" s="5"/>
      <c r="AR142" s="5"/>
      <c r="AS142" s="5"/>
      <c r="AT142" s="5"/>
      <c r="AU142" s="19"/>
      <c r="AV142" s="19"/>
      <c r="AW142" s="5"/>
      <c r="AX142" s="5"/>
      <c r="AY142" s="19"/>
      <c r="AZ142" s="30"/>
      <c r="BA142" s="5"/>
      <c r="BB142" s="31" t="str">
        <f aca="false">IF(OR($T142="",$M142=""),"",$T142-$M142)</f>
        <v/>
      </c>
      <c r="BC142" s="32" t="str">
        <f aca="false">IF(OR($T142="",$M142="",$M142=0),"",($T142-$M142)/$M142)</f>
        <v/>
      </c>
      <c r="BD142" s="31" t="str">
        <f aca="false">IF(OR($U142="",$M142=""),"",$U142-$M142)</f>
        <v/>
      </c>
      <c r="BE142" s="32" t="str">
        <f aca="false">IF(OR($U142="",$M142="",$M142=0),"",($U142-$M142)/$M142)</f>
        <v/>
      </c>
      <c r="BF142" s="32" t="str">
        <f aca="false">IF(OR($U142="",$J142="",$J142=0),"",($U142-$J142)/$J142)</f>
        <v/>
      </c>
      <c r="BG142" s="32" t="str">
        <f aca="false">IF(OR($M142="",$K142="",$K142=0),"",($M142-$K142)/$K142)</f>
        <v/>
      </c>
      <c r="BH142" s="32" t="str">
        <f aca="false">IF(OR($W142="",$N142="",$N142=0),"",($W142-$N142)/$N142)</f>
        <v/>
      </c>
      <c r="BI142" s="33" t="str">
        <f aca="false">IF(OR($O142="",$X142=""),"",$O142-$X142)</f>
        <v/>
      </c>
      <c r="BJ142" s="33" t="str">
        <f aca="false">IF(OR($P142="",$Y142=""),"",$P142-$Y142)</f>
        <v/>
      </c>
      <c r="BK142" s="34" t="str">
        <f aca="false">IF(OR($AN142="",$AO142="",$AN142=0),"",$AO142/$AN142)</f>
        <v/>
      </c>
      <c r="BL142" s="34" t="str">
        <f aca="false">IF(OR($AU142="",$AV142="",$AU142=0),"",$AV142/$AU142)</f>
        <v/>
      </c>
      <c r="BM142" s="7" t="str">
        <f aca="false">IF($Z142="","",IF(AND($Z142="Y",$AB142&lt;&gt;"N",$AC142&lt;&gt;"Y"),"Y","N"))</f>
        <v/>
      </c>
      <c r="BN142" s="7" t="str">
        <f aca="false">IF($AH142="","",IF($Z142&lt;&gt;"Y","undefined",IF($AH142&lt;=1,"Y","N")))</f>
        <v/>
      </c>
      <c r="BO142" s="7" t="str">
        <f aca="false">IF($AH142="","",IF($Z142&lt;&gt;"Y","undefined",IF($AH142&lt;=10,"Y","N")))</f>
        <v/>
      </c>
      <c r="BP142" s="7" t="str">
        <f aca="false">IF($AH142="","",IF($Z142&lt;&gt;"Y","undefined",IF($AH142&lt;=100,"Y","N")))</f>
        <v/>
      </c>
    </row>
    <row r="143" customFormat="false" ht="15" hidden="false" customHeight="false" outlineLevel="0" collapsed="false">
      <c r="A143" s="7" t="str">
        <f aca="false">IF($B143="","",$B143&amp;"|"&amp;$C143&amp;"|"&amp;$F143)</f>
        <v/>
      </c>
      <c r="B143" s="5"/>
      <c r="C143" s="5"/>
      <c r="D143" s="5"/>
      <c r="E143" s="5"/>
      <c r="F143" s="5"/>
      <c r="G143" s="5"/>
      <c r="H143" s="5"/>
      <c r="I143" s="5"/>
      <c r="J143" s="20"/>
      <c r="K143" s="20"/>
      <c r="L143" s="28"/>
      <c r="M143" s="20"/>
      <c r="N143" s="28"/>
      <c r="O143" s="19"/>
      <c r="P143" s="19"/>
      <c r="Q143" s="5"/>
      <c r="R143" s="19"/>
      <c r="S143" s="5"/>
      <c r="T143" s="20"/>
      <c r="U143" s="20"/>
      <c r="V143" s="29"/>
      <c r="W143" s="28"/>
      <c r="X143" s="19"/>
      <c r="Y143" s="19"/>
      <c r="Z143" s="5"/>
      <c r="AA143" s="19"/>
      <c r="AB143" s="5"/>
      <c r="AC143" s="5"/>
      <c r="AD143" s="5"/>
      <c r="AE143" s="5"/>
      <c r="AF143" s="30"/>
      <c r="AG143" s="30"/>
      <c r="AH143" s="30"/>
      <c r="AI143" s="30"/>
      <c r="AJ143" s="30"/>
      <c r="AK143" s="30"/>
      <c r="AL143" s="28"/>
      <c r="AM143" s="5"/>
      <c r="AN143" s="19"/>
      <c r="AO143" s="19"/>
      <c r="AP143" s="5"/>
      <c r="AQ143" s="5"/>
      <c r="AR143" s="5"/>
      <c r="AS143" s="5"/>
      <c r="AT143" s="5"/>
      <c r="AU143" s="19"/>
      <c r="AV143" s="19"/>
      <c r="AW143" s="5"/>
      <c r="AX143" s="5"/>
      <c r="AY143" s="19"/>
      <c r="AZ143" s="30"/>
      <c r="BA143" s="5"/>
      <c r="BB143" s="31" t="str">
        <f aca="false">IF(OR($T143="",$M143=""),"",$T143-$M143)</f>
        <v/>
      </c>
      <c r="BC143" s="32" t="str">
        <f aca="false">IF(OR($T143="",$M143="",$M143=0),"",($T143-$M143)/$M143)</f>
        <v/>
      </c>
      <c r="BD143" s="31" t="str">
        <f aca="false">IF(OR($U143="",$M143=""),"",$U143-$M143)</f>
        <v/>
      </c>
      <c r="BE143" s="32" t="str">
        <f aca="false">IF(OR($U143="",$M143="",$M143=0),"",($U143-$M143)/$M143)</f>
        <v/>
      </c>
      <c r="BF143" s="32" t="str">
        <f aca="false">IF(OR($U143="",$J143="",$J143=0),"",($U143-$J143)/$J143)</f>
        <v/>
      </c>
      <c r="BG143" s="32" t="str">
        <f aca="false">IF(OR($M143="",$K143="",$K143=0),"",($M143-$K143)/$K143)</f>
        <v/>
      </c>
      <c r="BH143" s="32" t="str">
        <f aca="false">IF(OR($W143="",$N143="",$N143=0),"",($W143-$N143)/$N143)</f>
        <v/>
      </c>
      <c r="BI143" s="33" t="str">
        <f aca="false">IF(OR($O143="",$X143=""),"",$O143-$X143)</f>
        <v/>
      </c>
      <c r="BJ143" s="33" t="str">
        <f aca="false">IF(OR($P143="",$Y143=""),"",$P143-$Y143)</f>
        <v/>
      </c>
      <c r="BK143" s="34" t="str">
        <f aca="false">IF(OR($AN143="",$AO143="",$AN143=0),"",$AO143/$AN143)</f>
        <v/>
      </c>
      <c r="BL143" s="34" t="str">
        <f aca="false">IF(OR($AU143="",$AV143="",$AU143=0),"",$AV143/$AU143)</f>
        <v/>
      </c>
      <c r="BM143" s="7" t="str">
        <f aca="false">IF($Z143="","",IF(AND($Z143="Y",$AB143&lt;&gt;"N",$AC143&lt;&gt;"Y"),"Y","N"))</f>
        <v/>
      </c>
      <c r="BN143" s="7" t="str">
        <f aca="false">IF($AH143="","",IF($Z143&lt;&gt;"Y","undefined",IF($AH143&lt;=1,"Y","N")))</f>
        <v/>
      </c>
      <c r="BO143" s="7" t="str">
        <f aca="false">IF($AH143="","",IF($Z143&lt;&gt;"Y","undefined",IF($AH143&lt;=10,"Y","N")))</f>
        <v/>
      </c>
      <c r="BP143" s="7" t="str">
        <f aca="false">IF($AH143="","",IF($Z143&lt;&gt;"Y","undefined",IF($AH143&lt;=100,"Y","N")))</f>
        <v/>
      </c>
    </row>
    <row r="144" customFormat="false" ht="15" hidden="false" customHeight="false" outlineLevel="0" collapsed="false">
      <c r="A144" s="7" t="str">
        <f aca="false">IF($B144="","",$B144&amp;"|"&amp;$C144&amp;"|"&amp;$F144)</f>
        <v/>
      </c>
      <c r="B144" s="5"/>
      <c r="C144" s="5"/>
      <c r="D144" s="5"/>
      <c r="E144" s="5"/>
      <c r="F144" s="5"/>
      <c r="G144" s="5"/>
      <c r="H144" s="5"/>
      <c r="I144" s="5"/>
      <c r="J144" s="20"/>
      <c r="K144" s="20"/>
      <c r="L144" s="28"/>
      <c r="M144" s="20"/>
      <c r="N144" s="28"/>
      <c r="O144" s="19"/>
      <c r="P144" s="19"/>
      <c r="Q144" s="5"/>
      <c r="R144" s="19"/>
      <c r="S144" s="5"/>
      <c r="T144" s="20"/>
      <c r="U144" s="20"/>
      <c r="V144" s="29"/>
      <c r="W144" s="28"/>
      <c r="X144" s="19"/>
      <c r="Y144" s="19"/>
      <c r="Z144" s="5"/>
      <c r="AA144" s="19"/>
      <c r="AB144" s="5"/>
      <c r="AC144" s="5"/>
      <c r="AD144" s="5"/>
      <c r="AE144" s="5"/>
      <c r="AF144" s="30"/>
      <c r="AG144" s="30"/>
      <c r="AH144" s="30"/>
      <c r="AI144" s="30"/>
      <c r="AJ144" s="30"/>
      <c r="AK144" s="30"/>
      <c r="AL144" s="28"/>
      <c r="AM144" s="5"/>
      <c r="AN144" s="19"/>
      <c r="AO144" s="19"/>
      <c r="AP144" s="5"/>
      <c r="AQ144" s="5"/>
      <c r="AR144" s="5"/>
      <c r="AS144" s="5"/>
      <c r="AT144" s="5"/>
      <c r="AU144" s="19"/>
      <c r="AV144" s="19"/>
      <c r="AW144" s="5"/>
      <c r="AX144" s="5"/>
      <c r="AY144" s="19"/>
      <c r="AZ144" s="30"/>
      <c r="BA144" s="5"/>
      <c r="BB144" s="31" t="str">
        <f aca="false">IF(OR($T144="",$M144=""),"",$T144-$M144)</f>
        <v/>
      </c>
      <c r="BC144" s="32" t="str">
        <f aca="false">IF(OR($T144="",$M144="",$M144=0),"",($T144-$M144)/$M144)</f>
        <v/>
      </c>
      <c r="BD144" s="31" t="str">
        <f aca="false">IF(OR($U144="",$M144=""),"",$U144-$M144)</f>
        <v/>
      </c>
      <c r="BE144" s="32" t="str">
        <f aca="false">IF(OR($U144="",$M144="",$M144=0),"",($U144-$M144)/$M144)</f>
        <v/>
      </c>
      <c r="BF144" s="32" t="str">
        <f aca="false">IF(OR($U144="",$J144="",$J144=0),"",($U144-$J144)/$J144)</f>
        <v/>
      </c>
      <c r="BG144" s="32" t="str">
        <f aca="false">IF(OR($M144="",$K144="",$K144=0),"",($M144-$K144)/$K144)</f>
        <v/>
      </c>
      <c r="BH144" s="32" t="str">
        <f aca="false">IF(OR($W144="",$N144="",$N144=0),"",($W144-$N144)/$N144)</f>
        <v/>
      </c>
      <c r="BI144" s="33" t="str">
        <f aca="false">IF(OR($O144="",$X144=""),"",$O144-$X144)</f>
        <v/>
      </c>
      <c r="BJ144" s="33" t="str">
        <f aca="false">IF(OR($P144="",$Y144=""),"",$P144-$Y144)</f>
        <v/>
      </c>
      <c r="BK144" s="34" t="str">
        <f aca="false">IF(OR($AN144="",$AO144="",$AN144=0),"",$AO144/$AN144)</f>
        <v/>
      </c>
      <c r="BL144" s="34" t="str">
        <f aca="false">IF(OR($AU144="",$AV144="",$AU144=0),"",$AV144/$AU144)</f>
        <v/>
      </c>
      <c r="BM144" s="7" t="str">
        <f aca="false">IF($Z144="","",IF(AND($Z144="Y",$AB144&lt;&gt;"N",$AC144&lt;&gt;"Y"),"Y","N"))</f>
        <v/>
      </c>
      <c r="BN144" s="7" t="str">
        <f aca="false">IF($AH144="","",IF($Z144&lt;&gt;"Y","undefined",IF($AH144&lt;=1,"Y","N")))</f>
        <v/>
      </c>
      <c r="BO144" s="7" t="str">
        <f aca="false">IF($AH144="","",IF($Z144&lt;&gt;"Y","undefined",IF($AH144&lt;=10,"Y","N")))</f>
        <v/>
      </c>
      <c r="BP144" s="7" t="str">
        <f aca="false">IF($AH144="","",IF($Z144&lt;&gt;"Y","undefined",IF($AH144&lt;=100,"Y","N")))</f>
        <v/>
      </c>
    </row>
    <row r="145" customFormat="false" ht="15" hidden="false" customHeight="false" outlineLevel="0" collapsed="false">
      <c r="A145" s="7" t="str">
        <f aca="false">IF($B145="","",$B145&amp;"|"&amp;$C145&amp;"|"&amp;$F145)</f>
        <v/>
      </c>
      <c r="B145" s="5"/>
      <c r="C145" s="5"/>
      <c r="D145" s="5"/>
      <c r="E145" s="5"/>
      <c r="F145" s="5"/>
      <c r="G145" s="5"/>
      <c r="H145" s="5"/>
      <c r="I145" s="5"/>
      <c r="J145" s="20"/>
      <c r="K145" s="20"/>
      <c r="L145" s="28"/>
      <c r="M145" s="20"/>
      <c r="N145" s="28"/>
      <c r="O145" s="19"/>
      <c r="P145" s="19"/>
      <c r="Q145" s="5"/>
      <c r="R145" s="19"/>
      <c r="S145" s="5"/>
      <c r="T145" s="20"/>
      <c r="U145" s="20"/>
      <c r="V145" s="29"/>
      <c r="W145" s="28"/>
      <c r="X145" s="19"/>
      <c r="Y145" s="19"/>
      <c r="Z145" s="5"/>
      <c r="AA145" s="19"/>
      <c r="AB145" s="5"/>
      <c r="AC145" s="5"/>
      <c r="AD145" s="5"/>
      <c r="AE145" s="5"/>
      <c r="AF145" s="30"/>
      <c r="AG145" s="30"/>
      <c r="AH145" s="30"/>
      <c r="AI145" s="30"/>
      <c r="AJ145" s="30"/>
      <c r="AK145" s="30"/>
      <c r="AL145" s="28"/>
      <c r="AM145" s="5"/>
      <c r="AN145" s="19"/>
      <c r="AO145" s="19"/>
      <c r="AP145" s="5"/>
      <c r="AQ145" s="5"/>
      <c r="AR145" s="5"/>
      <c r="AS145" s="5"/>
      <c r="AT145" s="5"/>
      <c r="AU145" s="19"/>
      <c r="AV145" s="19"/>
      <c r="AW145" s="5"/>
      <c r="AX145" s="5"/>
      <c r="AY145" s="19"/>
      <c r="AZ145" s="30"/>
      <c r="BA145" s="5"/>
      <c r="BB145" s="31" t="str">
        <f aca="false">IF(OR($T145="",$M145=""),"",$T145-$M145)</f>
        <v/>
      </c>
      <c r="BC145" s="32" t="str">
        <f aca="false">IF(OR($T145="",$M145="",$M145=0),"",($T145-$M145)/$M145)</f>
        <v/>
      </c>
      <c r="BD145" s="31" t="str">
        <f aca="false">IF(OR($U145="",$M145=""),"",$U145-$M145)</f>
        <v/>
      </c>
      <c r="BE145" s="32" t="str">
        <f aca="false">IF(OR($U145="",$M145="",$M145=0),"",($U145-$M145)/$M145)</f>
        <v/>
      </c>
      <c r="BF145" s="32" t="str">
        <f aca="false">IF(OR($U145="",$J145="",$J145=0),"",($U145-$J145)/$J145)</f>
        <v/>
      </c>
      <c r="BG145" s="32" t="str">
        <f aca="false">IF(OR($M145="",$K145="",$K145=0),"",($M145-$K145)/$K145)</f>
        <v/>
      </c>
      <c r="BH145" s="32" t="str">
        <f aca="false">IF(OR($W145="",$N145="",$N145=0),"",($W145-$N145)/$N145)</f>
        <v/>
      </c>
      <c r="BI145" s="33" t="str">
        <f aca="false">IF(OR($O145="",$X145=""),"",$O145-$X145)</f>
        <v/>
      </c>
      <c r="BJ145" s="33" t="str">
        <f aca="false">IF(OR($P145="",$Y145=""),"",$P145-$Y145)</f>
        <v/>
      </c>
      <c r="BK145" s="34" t="str">
        <f aca="false">IF(OR($AN145="",$AO145="",$AN145=0),"",$AO145/$AN145)</f>
        <v/>
      </c>
      <c r="BL145" s="34" t="str">
        <f aca="false">IF(OR($AU145="",$AV145="",$AU145=0),"",$AV145/$AU145)</f>
        <v/>
      </c>
      <c r="BM145" s="7" t="str">
        <f aca="false">IF($Z145="","",IF(AND($Z145="Y",$AB145&lt;&gt;"N",$AC145&lt;&gt;"Y"),"Y","N"))</f>
        <v/>
      </c>
      <c r="BN145" s="7" t="str">
        <f aca="false">IF($AH145="","",IF($Z145&lt;&gt;"Y","undefined",IF($AH145&lt;=1,"Y","N")))</f>
        <v/>
      </c>
      <c r="BO145" s="7" t="str">
        <f aca="false">IF($AH145="","",IF($Z145&lt;&gt;"Y","undefined",IF($AH145&lt;=10,"Y","N")))</f>
        <v/>
      </c>
      <c r="BP145" s="7" t="str">
        <f aca="false">IF($AH145="","",IF($Z145&lt;&gt;"Y","undefined",IF($AH145&lt;=100,"Y","N")))</f>
        <v/>
      </c>
    </row>
    <row r="146" customFormat="false" ht="15" hidden="false" customHeight="false" outlineLevel="0" collapsed="false">
      <c r="A146" s="7" t="str">
        <f aca="false">IF($B146="","",$B146&amp;"|"&amp;$C146&amp;"|"&amp;$F146)</f>
        <v/>
      </c>
      <c r="B146" s="5"/>
      <c r="C146" s="5"/>
      <c r="D146" s="5"/>
      <c r="E146" s="5"/>
      <c r="F146" s="5"/>
      <c r="G146" s="5"/>
      <c r="H146" s="5"/>
      <c r="I146" s="5"/>
      <c r="J146" s="20"/>
      <c r="K146" s="20"/>
      <c r="L146" s="28"/>
      <c r="M146" s="20"/>
      <c r="N146" s="28"/>
      <c r="O146" s="19"/>
      <c r="P146" s="19"/>
      <c r="Q146" s="5"/>
      <c r="R146" s="19"/>
      <c r="S146" s="5"/>
      <c r="T146" s="20"/>
      <c r="U146" s="20"/>
      <c r="V146" s="29"/>
      <c r="W146" s="28"/>
      <c r="X146" s="19"/>
      <c r="Y146" s="19"/>
      <c r="Z146" s="5"/>
      <c r="AA146" s="19"/>
      <c r="AB146" s="5"/>
      <c r="AC146" s="5"/>
      <c r="AD146" s="5"/>
      <c r="AE146" s="5"/>
      <c r="AF146" s="30"/>
      <c r="AG146" s="30"/>
      <c r="AH146" s="30"/>
      <c r="AI146" s="30"/>
      <c r="AJ146" s="30"/>
      <c r="AK146" s="30"/>
      <c r="AL146" s="28"/>
      <c r="AM146" s="5"/>
      <c r="AN146" s="19"/>
      <c r="AO146" s="19"/>
      <c r="AP146" s="5"/>
      <c r="AQ146" s="5"/>
      <c r="AR146" s="5"/>
      <c r="AS146" s="5"/>
      <c r="AT146" s="5"/>
      <c r="AU146" s="19"/>
      <c r="AV146" s="19"/>
      <c r="AW146" s="5"/>
      <c r="AX146" s="5"/>
      <c r="AY146" s="19"/>
      <c r="AZ146" s="30"/>
      <c r="BA146" s="5"/>
      <c r="BB146" s="31" t="str">
        <f aca="false">IF(OR($T146="",$M146=""),"",$T146-$M146)</f>
        <v/>
      </c>
      <c r="BC146" s="32" t="str">
        <f aca="false">IF(OR($T146="",$M146="",$M146=0),"",($T146-$M146)/$M146)</f>
        <v/>
      </c>
      <c r="BD146" s="31" t="str">
        <f aca="false">IF(OR($U146="",$M146=""),"",$U146-$M146)</f>
        <v/>
      </c>
      <c r="BE146" s="32" t="str">
        <f aca="false">IF(OR($U146="",$M146="",$M146=0),"",($U146-$M146)/$M146)</f>
        <v/>
      </c>
      <c r="BF146" s="32" t="str">
        <f aca="false">IF(OR($U146="",$J146="",$J146=0),"",($U146-$J146)/$J146)</f>
        <v/>
      </c>
      <c r="BG146" s="32" t="str">
        <f aca="false">IF(OR($M146="",$K146="",$K146=0),"",($M146-$K146)/$K146)</f>
        <v/>
      </c>
      <c r="BH146" s="32" t="str">
        <f aca="false">IF(OR($W146="",$N146="",$N146=0),"",($W146-$N146)/$N146)</f>
        <v/>
      </c>
      <c r="BI146" s="33" t="str">
        <f aca="false">IF(OR($O146="",$X146=""),"",$O146-$X146)</f>
        <v/>
      </c>
      <c r="BJ146" s="33" t="str">
        <f aca="false">IF(OR($P146="",$Y146=""),"",$P146-$Y146)</f>
        <v/>
      </c>
      <c r="BK146" s="34" t="str">
        <f aca="false">IF(OR($AN146="",$AO146="",$AN146=0),"",$AO146/$AN146)</f>
        <v/>
      </c>
      <c r="BL146" s="34" t="str">
        <f aca="false">IF(OR($AU146="",$AV146="",$AU146=0),"",$AV146/$AU146)</f>
        <v/>
      </c>
      <c r="BM146" s="7" t="str">
        <f aca="false">IF($Z146="","",IF(AND($Z146="Y",$AB146&lt;&gt;"N",$AC146&lt;&gt;"Y"),"Y","N"))</f>
        <v/>
      </c>
      <c r="BN146" s="7" t="str">
        <f aca="false">IF($AH146="","",IF($Z146&lt;&gt;"Y","undefined",IF($AH146&lt;=1,"Y","N")))</f>
        <v/>
      </c>
      <c r="BO146" s="7" t="str">
        <f aca="false">IF($AH146="","",IF($Z146&lt;&gt;"Y","undefined",IF($AH146&lt;=10,"Y","N")))</f>
        <v/>
      </c>
      <c r="BP146" s="7" t="str">
        <f aca="false">IF($AH146="","",IF($Z146&lt;&gt;"Y","undefined",IF($AH146&lt;=100,"Y","N")))</f>
        <v/>
      </c>
    </row>
    <row r="147" customFormat="false" ht="15" hidden="false" customHeight="false" outlineLevel="0" collapsed="false">
      <c r="A147" s="7" t="str">
        <f aca="false">IF($B147="","",$B147&amp;"|"&amp;$C147&amp;"|"&amp;$F147)</f>
        <v/>
      </c>
      <c r="B147" s="5"/>
      <c r="C147" s="5"/>
      <c r="D147" s="5"/>
      <c r="E147" s="5"/>
      <c r="F147" s="5"/>
      <c r="G147" s="5"/>
      <c r="H147" s="5"/>
      <c r="I147" s="5"/>
      <c r="J147" s="20"/>
      <c r="K147" s="20"/>
      <c r="L147" s="28"/>
      <c r="M147" s="20"/>
      <c r="N147" s="28"/>
      <c r="O147" s="19"/>
      <c r="P147" s="19"/>
      <c r="Q147" s="5"/>
      <c r="R147" s="19"/>
      <c r="S147" s="5"/>
      <c r="T147" s="20"/>
      <c r="U147" s="20"/>
      <c r="V147" s="29"/>
      <c r="W147" s="28"/>
      <c r="X147" s="19"/>
      <c r="Y147" s="19"/>
      <c r="Z147" s="5"/>
      <c r="AA147" s="19"/>
      <c r="AB147" s="5"/>
      <c r="AC147" s="5"/>
      <c r="AD147" s="5"/>
      <c r="AE147" s="5"/>
      <c r="AF147" s="30"/>
      <c r="AG147" s="30"/>
      <c r="AH147" s="30"/>
      <c r="AI147" s="30"/>
      <c r="AJ147" s="30"/>
      <c r="AK147" s="30"/>
      <c r="AL147" s="28"/>
      <c r="AM147" s="5"/>
      <c r="AN147" s="19"/>
      <c r="AO147" s="19"/>
      <c r="AP147" s="5"/>
      <c r="AQ147" s="5"/>
      <c r="AR147" s="5"/>
      <c r="AS147" s="5"/>
      <c r="AT147" s="5"/>
      <c r="AU147" s="19"/>
      <c r="AV147" s="19"/>
      <c r="AW147" s="5"/>
      <c r="AX147" s="5"/>
      <c r="AY147" s="19"/>
      <c r="AZ147" s="30"/>
      <c r="BA147" s="5"/>
      <c r="BB147" s="31" t="str">
        <f aca="false">IF(OR($T147="",$M147=""),"",$T147-$M147)</f>
        <v/>
      </c>
      <c r="BC147" s="32" t="str">
        <f aca="false">IF(OR($T147="",$M147="",$M147=0),"",($T147-$M147)/$M147)</f>
        <v/>
      </c>
      <c r="BD147" s="31" t="str">
        <f aca="false">IF(OR($U147="",$M147=""),"",$U147-$M147)</f>
        <v/>
      </c>
      <c r="BE147" s="32" t="str">
        <f aca="false">IF(OR($U147="",$M147="",$M147=0),"",($U147-$M147)/$M147)</f>
        <v/>
      </c>
      <c r="BF147" s="32" t="str">
        <f aca="false">IF(OR($U147="",$J147="",$J147=0),"",($U147-$J147)/$J147)</f>
        <v/>
      </c>
      <c r="BG147" s="32" t="str">
        <f aca="false">IF(OR($M147="",$K147="",$K147=0),"",($M147-$K147)/$K147)</f>
        <v/>
      </c>
      <c r="BH147" s="32" t="str">
        <f aca="false">IF(OR($W147="",$N147="",$N147=0),"",($W147-$N147)/$N147)</f>
        <v/>
      </c>
      <c r="BI147" s="33" t="str">
        <f aca="false">IF(OR($O147="",$X147=""),"",$O147-$X147)</f>
        <v/>
      </c>
      <c r="BJ147" s="33" t="str">
        <f aca="false">IF(OR($P147="",$Y147=""),"",$P147-$Y147)</f>
        <v/>
      </c>
      <c r="BK147" s="34" t="str">
        <f aca="false">IF(OR($AN147="",$AO147="",$AN147=0),"",$AO147/$AN147)</f>
        <v/>
      </c>
      <c r="BL147" s="34" t="str">
        <f aca="false">IF(OR($AU147="",$AV147="",$AU147=0),"",$AV147/$AU147)</f>
        <v/>
      </c>
      <c r="BM147" s="7" t="str">
        <f aca="false">IF($Z147="","",IF(AND($Z147="Y",$AB147&lt;&gt;"N",$AC147&lt;&gt;"Y"),"Y","N"))</f>
        <v/>
      </c>
      <c r="BN147" s="7" t="str">
        <f aca="false">IF($AH147="","",IF($Z147&lt;&gt;"Y","undefined",IF($AH147&lt;=1,"Y","N")))</f>
        <v/>
      </c>
      <c r="BO147" s="7" t="str">
        <f aca="false">IF($AH147="","",IF($Z147&lt;&gt;"Y","undefined",IF($AH147&lt;=10,"Y","N")))</f>
        <v/>
      </c>
      <c r="BP147" s="7" t="str">
        <f aca="false">IF($AH147="","",IF($Z147&lt;&gt;"Y","undefined",IF($AH147&lt;=100,"Y","N")))</f>
        <v/>
      </c>
    </row>
    <row r="148" customFormat="false" ht="15" hidden="false" customHeight="false" outlineLevel="0" collapsed="false">
      <c r="A148" s="7" t="str">
        <f aca="false">IF($B148="","",$B148&amp;"|"&amp;$C148&amp;"|"&amp;$F148)</f>
        <v/>
      </c>
      <c r="B148" s="5"/>
      <c r="C148" s="5"/>
      <c r="D148" s="5"/>
      <c r="E148" s="5"/>
      <c r="F148" s="5"/>
      <c r="G148" s="5"/>
      <c r="H148" s="5"/>
      <c r="I148" s="5"/>
      <c r="J148" s="20"/>
      <c r="K148" s="20"/>
      <c r="L148" s="28"/>
      <c r="M148" s="20"/>
      <c r="N148" s="28"/>
      <c r="O148" s="19"/>
      <c r="P148" s="19"/>
      <c r="Q148" s="5"/>
      <c r="R148" s="19"/>
      <c r="S148" s="5"/>
      <c r="T148" s="20"/>
      <c r="U148" s="20"/>
      <c r="V148" s="29"/>
      <c r="W148" s="28"/>
      <c r="X148" s="19"/>
      <c r="Y148" s="19"/>
      <c r="Z148" s="5"/>
      <c r="AA148" s="19"/>
      <c r="AB148" s="5"/>
      <c r="AC148" s="5"/>
      <c r="AD148" s="5"/>
      <c r="AE148" s="5"/>
      <c r="AF148" s="30"/>
      <c r="AG148" s="30"/>
      <c r="AH148" s="30"/>
      <c r="AI148" s="30"/>
      <c r="AJ148" s="30"/>
      <c r="AK148" s="30"/>
      <c r="AL148" s="28"/>
      <c r="AM148" s="5"/>
      <c r="AN148" s="19"/>
      <c r="AO148" s="19"/>
      <c r="AP148" s="5"/>
      <c r="AQ148" s="5"/>
      <c r="AR148" s="5"/>
      <c r="AS148" s="5"/>
      <c r="AT148" s="5"/>
      <c r="AU148" s="19"/>
      <c r="AV148" s="19"/>
      <c r="AW148" s="5"/>
      <c r="AX148" s="5"/>
      <c r="AY148" s="19"/>
      <c r="AZ148" s="30"/>
      <c r="BA148" s="5"/>
      <c r="BB148" s="31" t="str">
        <f aca="false">IF(OR($T148="",$M148=""),"",$T148-$M148)</f>
        <v/>
      </c>
      <c r="BC148" s="32" t="str">
        <f aca="false">IF(OR($T148="",$M148="",$M148=0),"",($T148-$M148)/$M148)</f>
        <v/>
      </c>
      <c r="BD148" s="31" t="str">
        <f aca="false">IF(OR($U148="",$M148=""),"",$U148-$M148)</f>
        <v/>
      </c>
      <c r="BE148" s="32" t="str">
        <f aca="false">IF(OR($U148="",$M148="",$M148=0),"",($U148-$M148)/$M148)</f>
        <v/>
      </c>
      <c r="BF148" s="32" t="str">
        <f aca="false">IF(OR($U148="",$J148="",$J148=0),"",($U148-$J148)/$J148)</f>
        <v/>
      </c>
      <c r="BG148" s="32" t="str">
        <f aca="false">IF(OR($M148="",$K148="",$K148=0),"",($M148-$K148)/$K148)</f>
        <v/>
      </c>
      <c r="BH148" s="32" t="str">
        <f aca="false">IF(OR($W148="",$N148="",$N148=0),"",($W148-$N148)/$N148)</f>
        <v/>
      </c>
      <c r="BI148" s="33" t="str">
        <f aca="false">IF(OR($O148="",$X148=""),"",$O148-$X148)</f>
        <v/>
      </c>
      <c r="BJ148" s="33" t="str">
        <f aca="false">IF(OR($P148="",$Y148=""),"",$P148-$Y148)</f>
        <v/>
      </c>
      <c r="BK148" s="34" t="str">
        <f aca="false">IF(OR($AN148="",$AO148="",$AN148=0),"",$AO148/$AN148)</f>
        <v/>
      </c>
      <c r="BL148" s="34" t="str">
        <f aca="false">IF(OR($AU148="",$AV148="",$AU148=0),"",$AV148/$AU148)</f>
        <v/>
      </c>
      <c r="BM148" s="7" t="str">
        <f aca="false">IF($Z148="","",IF(AND($Z148="Y",$AB148&lt;&gt;"N",$AC148&lt;&gt;"Y"),"Y","N"))</f>
        <v/>
      </c>
      <c r="BN148" s="7" t="str">
        <f aca="false">IF($AH148="","",IF($Z148&lt;&gt;"Y","undefined",IF($AH148&lt;=1,"Y","N")))</f>
        <v/>
      </c>
      <c r="BO148" s="7" t="str">
        <f aca="false">IF($AH148="","",IF($Z148&lt;&gt;"Y","undefined",IF($AH148&lt;=10,"Y","N")))</f>
        <v/>
      </c>
      <c r="BP148" s="7" t="str">
        <f aca="false">IF($AH148="","",IF($Z148&lt;&gt;"Y","undefined",IF($AH148&lt;=100,"Y","N")))</f>
        <v/>
      </c>
    </row>
    <row r="149" customFormat="false" ht="15" hidden="false" customHeight="false" outlineLevel="0" collapsed="false">
      <c r="A149" s="7" t="str">
        <f aca="false">IF($B149="","",$B149&amp;"|"&amp;$C149&amp;"|"&amp;$F149)</f>
        <v/>
      </c>
      <c r="B149" s="5"/>
      <c r="C149" s="5"/>
      <c r="D149" s="5"/>
      <c r="E149" s="5"/>
      <c r="F149" s="5"/>
      <c r="G149" s="5"/>
      <c r="H149" s="5"/>
      <c r="I149" s="5"/>
      <c r="J149" s="20"/>
      <c r="K149" s="20"/>
      <c r="L149" s="28"/>
      <c r="M149" s="20"/>
      <c r="N149" s="28"/>
      <c r="O149" s="19"/>
      <c r="P149" s="19"/>
      <c r="Q149" s="5"/>
      <c r="R149" s="19"/>
      <c r="S149" s="5"/>
      <c r="T149" s="20"/>
      <c r="U149" s="20"/>
      <c r="V149" s="29"/>
      <c r="W149" s="28"/>
      <c r="X149" s="19"/>
      <c r="Y149" s="19"/>
      <c r="Z149" s="5"/>
      <c r="AA149" s="19"/>
      <c r="AB149" s="5"/>
      <c r="AC149" s="5"/>
      <c r="AD149" s="5"/>
      <c r="AE149" s="5"/>
      <c r="AF149" s="30"/>
      <c r="AG149" s="30"/>
      <c r="AH149" s="30"/>
      <c r="AI149" s="30"/>
      <c r="AJ149" s="30"/>
      <c r="AK149" s="30"/>
      <c r="AL149" s="28"/>
      <c r="AM149" s="5"/>
      <c r="AN149" s="19"/>
      <c r="AO149" s="19"/>
      <c r="AP149" s="5"/>
      <c r="AQ149" s="5"/>
      <c r="AR149" s="5"/>
      <c r="AS149" s="5"/>
      <c r="AT149" s="5"/>
      <c r="AU149" s="19"/>
      <c r="AV149" s="19"/>
      <c r="AW149" s="5"/>
      <c r="AX149" s="5"/>
      <c r="AY149" s="19"/>
      <c r="AZ149" s="30"/>
      <c r="BA149" s="5"/>
      <c r="BB149" s="31" t="str">
        <f aca="false">IF(OR($T149="",$M149=""),"",$T149-$M149)</f>
        <v/>
      </c>
      <c r="BC149" s="32" t="str">
        <f aca="false">IF(OR($T149="",$M149="",$M149=0),"",($T149-$M149)/$M149)</f>
        <v/>
      </c>
      <c r="BD149" s="31" t="str">
        <f aca="false">IF(OR($U149="",$M149=""),"",$U149-$M149)</f>
        <v/>
      </c>
      <c r="BE149" s="32" t="str">
        <f aca="false">IF(OR($U149="",$M149="",$M149=0),"",($U149-$M149)/$M149)</f>
        <v/>
      </c>
      <c r="BF149" s="32" t="str">
        <f aca="false">IF(OR($U149="",$J149="",$J149=0),"",($U149-$J149)/$J149)</f>
        <v/>
      </c>
      <c r="BG149" s="32" t="str">
        <f aca="false">IF(OR($M149="",$K149="",$K149=0),"",($M149-$K149)/$K149)</f>
        <v/>
      </c>
      <c r="BH149" s="32" t="str">
        <f aca="false">IF(OR($W149="",$N149="",$N149=0),"",($W149-$N149)/$N149)</f>
        <v/>
      </c>
      <c r="BI149" s="33" t="str">
        <f aca="false">IF(OR($O149="",$X149=""),"",$O149-$X149)</f>
        <v/>
      </c>
      <c r="BJ149" s="33" t="str">
        <f aca="false">IF(OR($P149="",$Y149=""),"",$P149-$Y149)</f>
        <v/>
      </c>
      <c r="BK149" s="34" t="str">
        <f aca="false">IF(OR($AN149="",$AO149="",$AN149=0),"",$AO149/$AN149)</f>
        <v/>
      </c>
      <c r="BL149" s="34" t="str">
        <f aca="false">IF(OR($AU149="",$AV149="",$AU149=0),"",$AV149/$AU149)</f>
        <v/>
      </c>
      <c r="BM149" s="7" t="str">
        <f aca="false">IF($Z149="","",IF(AND($Z149="Y",$AB149&lt;&gt;"N",$AC149&lt;&gt;"Y"),"Y","N"))</f>
        <v/>
      </c>
      <c r="BN149" s="7" t="str">
        <f aca="false">IF($AH149="","",IF($Z149&lt;&gt;"Y","undefined",IF($AH149&lt;=1,"Y","N")))</f>
        <v/>
      </c>
      <c r="BO149" s="7" t="str">
        <f aca="false">IF($AH149="","",IF($Z149&lt;&gt;"Y","undefined",IF($AH149&lt;=10,"Y","N")))</f>
        <v/>
      </c>
      <c r="BP149" s="7" t="str">
        <f aca="false">IF($AH149="","",IF($Z149&lt;&gt;"Y","undefined",IF($AH149&lt;=100,"Y","N")))</f>
        <v/>
      </c>
    </row>
    <row r="150" customFormat="false" ht="15" hidden="false" customHeight="false" outlineLevel="0" collapsed="false">
      <c r="A150" s="7" t="str">
        <f aca="false">IF($B150="","",$B150&amp;"|"&amp;$C150&amp;"|"&amp;$F150)</f>
        <v/>
      </c>
      <c r="B150" s="5"/>
      <c r="C150" s="5"/>
      <c r="D150" s="5"/>
      <c r="E150" s="5"/>
      <c r="F150" s="5"/>
      <c r="G150" s="5"/>
      <c r="H150" s="5"/>
      <c r="I150" s="5"/>
      <c r="J150" s="20"/>
      <c r="K150" s="20"/>
      <c r="L150" s="28"/>
      <c r="M150" s="20"/>
      <c r="N150" s="28"/>
      <c r="O150" s="19"/>
      <c r="P150" s="19"/>
      <c r="Q150" s="5"/>
      <c r="R150" s="19"/>
      <c r="S150" s="5"/>
      <c r="T150" s="20"/>
      <c r="U150" s="20"/>
      <c r="V150" s="29"/>
      <c r="W150" s="28"/>
      <c r="X150" s="19"/>
      <c r="Y150" s="19"/>
      <c r="Z150" s="5"/>
      <c r="AA150" s="19"/>
      <c r="AB150" s="5"/>
      <c r="AC150" s="5"/>
      <c r="AD150" s="5"/>
      <c r="AE150" s="5"/>
      <c r="AF150" s="30"/>
      <c r="AG150" s="30"/>
      <c r="AH150" s="30"/>
      <c r="AI150" s="30"/>
      <c r="AJ150" s="30"/>
      <c r="AK150" s="30"/>
      <c r="AL150" s="28"/>
      <c r="AM150" s="5"/>
      <c r="AN150" s="19"/>
      <c r="AO150" s="19"/>
      <c r="AP150" s="5"/>
      <c r="AQ150" s="5"/>
      <c r="AR150" s="5"/>
      <c r="AS150" s="5"/>
      <c r="AT150" s="5"/>
      <c r="AU150" s="19"/>
      <c r="AV150" s="19"/>
      <c r="AW150" s="5"/>
      <c r="AX150" s="5"/>
      <c r="AY150" s="19"/>
      <c r="AZ150" s="30"/>
      <c r="BA150" s="5"/>
      <c r="BB150" s="31" t="str">
        <f aca="false">IF(OR($T150="",$M150=""),"",$T150-$M150)</f>
        <v/>
      </c>
      <c r="BC150" s="32" t="str">
        <f aca="false">IF(OR($T150="",$M150="",$M150=0),"",($T150-$M150)/$M150)</f>
        <v/>
      </c>
      <c r="BD150" s="31" t="str">
        <f aca="false">IF(OR($U150="",$M150=""),"",$U150-$M150)</f>
        <v/>
      </c>
      <c r="BE150" s="32" t="str">
        <f aca="false">IF(OR($U150="",$M150="",$M150=0),"",($U150-$M150)/$M150)</f>
        <v/>
      </c>
      <c r="BF150" s="32" t="str">
        <f aca="false">IF(OR($U150="",$J150="",$J150=0),"",($U150-$J150)/$J150)</f>
        <v/>
      </c>
      <c r="BG150" s="32" t="str">
        <f aca="false">IF(OR($M150="",$K150="",$K150=0),"",($M150-$K150)/$K150)</f>
        <v/>
      </c>
      <c r="BH150" s="32" t="str">
        <f aca="false">IF(OR($W150="",$N150="",$N150=0),"",($W150-$N150)/$N150)</f>
        <v/>
      </c>
      <c r="BI150" s="33" t="str">
        <f aca="false">IF(OR($O150="",$X150=""),"",$O150-$X150)</f>
        <v/>
      </c>
      <c r="BJ150" s="33" t="str">
        <f aca="false">IF(OR($P150="",$Y150=""),"",$P150-$Y150)</f>
        <v/>
      </c>
      <c r="BK150" s="34" t="str">
        <f aca="false">IF(OR($AN150="",$AO150="",$AN150=0),"",$AO150/$AN150)</f>
        <v/>
      </c>
      <c r="BL150" s="34" t="str">
        <f aca="false">IF(OR($AU150="",$AV150="",$AU150=0),"",$AV150/$AU150)</f>
        <v/>
      </c>
      <c r="BM150" s="7" t="str">
        <f aca="false">IF($Z150="","",IF(AND($Z150="Y",$AB150&lt;&gt;"N",$AC150&lt;&gt;"Y"),"Y","N"))</f>
        <v/>
      </c>
      <c r="BN150" s="7" t="str">
        <f aca="false">IF($AH150="","",IF($Z150&lt;&gt;"Y","undefined",IF($AH150&lt;=1,"Y","N")))</f>
        <v/>
      </c>
      <c r="BO150" s="7" t="str">
        <f aca="false">IF($AH150="","",IF($Z150&lt;&gt;"Y","undefined",IF($AH150&lt;=10,"Y","N")))</f>
        <v/>
      </c>
      <c r="BP150" s="7" t="str">
        <f aca="false">IF($AH150="","",IF($Z150&lt;&gt;"Y","undefined",IF($AH150&lt;=100,"Y","N")))</f>
        <v/>
      </c>
    </row>
    <row r="151" customFormat="false" ht="15" hidden="false" customHeight="false" outlineLevel="0" collapsed="false">
      <c r="A151" s="7" t="str">
        <f aca="false">IF($B151="","",$B151&amp;"|"&amp;$C151&amp;"|"&amp;$F151)</f>
        <v/>
      </c>
      <c r="B151" s="5"/>
      <c r="C151" s="5"/>
      <c r="D151" s="5"/>
      <c r="E151" s="5"/>
      <c r="F151" s="5"/>
      <c r="G151" s="5"/>
      <c r="H151" s="5"/>
      <c r="I151" s="5"/>
      <c r="J151" s="20"/>
      <c r="K151" s="20"/>
      <c r="L151" s="28"/>
      <c r="M151" s="20"/>
      <c r="N151" s="28"/>
      <c r="O151" s="19"/>
      <c r="P151" s="19"/>
      <c r="Q151" s="5"/>
      <c r="R151" s="19"/>
      <c r="S151" s="5"/>
      <c r="T151" s="20"/>
      <c r="U151" s="20"/>
      <c r="V151" s="29"/>
      <c r="W151" s="28"/>
      <c r="X151" s="19"/>
      <c r="Y151" s="19"/>
      <c r="Z151" s="5"/>
      <c r="AA151" s="19"/>
      <c r="AB151" s="5"/>
      <c r="AC151" s="5"/>
      <c r="AD151" s="5"/>
      <c r="AE151" s="5"/>
      <c r="AF151" s="30"/>
      <c r="AG151" s="30"/>
      <c r="AH151" s="30"/>
      <c r="AI151" s="30"/>
      <c r="AJ151" s="30"/>
      <c r="AK151" s="30"/>
      <c r="AL151" s="28"/>
      <c r="AM151" s="5"/>
      <c r="AN151" s="19"/>
      <c r="AO151" s="19"/>
      <c r="AP151" s="5"/>
      <c r="AQ151" s="5"/>
      <c r="AR151" s="5"/>
      <c r="AS151" s="5"/>
      <c r="AT151" s="5"/>
      <c r="AU151" s="19"/>
      <c r="AV151" s="19"/>
      <c r="AW151" s="5"/>
      <c r="AX151" s="5"/>
      <c r="AY151" s="19"/>
      <c r="AZ151" s="30"/>
      <c r="BA151" s="5"/>
      <c r="BB151" s="31" t="str">
        <f aca="false">IF(OR($T151="",$M151=""),"",$T151-$M151)</f>
        <v/>
      </c>
      <c r="BC151" s="32" t="str">
        <f aca="false">IF(OR($T151="",$M151="",$M151=0),"",($T151-$M151)/$M151)</f>
        <v/>
      </c>
      <c r="BD151" s="31" t="str">
        <f aca="false">IF(OR($U151="",$M151=""),"",$U151-$M151)</f>
        <v/>
      </c>
      <c r="BE151" s="32" t="str">
        <f aca="false">IF(OR($U151="",$M151="",$M151=0),"",($U151-$M151)/$M151)</f>
        <v/>
      </c>
      <c r="BF151" s="32" t="str">
        <f aca="false">IF(OR($U151="",$J151="",$J151=0),"",($U151-$J151)/$J151)</f>
        <v/>
      </c>
      <c r="BG151" s="32" t="str">
        <f aca="false">IF(OR($M151="",$K151="",$K151=0),"",($M151-$K151)/$K151)</f>
        <v/>
      </c>
      <c r="BH151" s="32" t="str">
        <f aca="false">IF(OR($W151="",$N151="",$N151=0),"",($W151-$N151)/$N151)</f>
        <v/>
      </c>
      <c r="BI151" s="33" t="str">
        <f aca="false">IF(OR($O151="",$X151=""),"",$O151-$X151)</f>
        <v/>
      </c>
      <c r="BJ151" s="33" t="str">
        <f aca="false">IF(OR($P151="",$Y151=""),"",$P151-$Y151)</f>
        <v/>
      </c>
      <c r="BK151" s="34" t="str">
        <f aca="false">IF(OR($AN151="",$AO151="",$AN151=0),"",$AO151/$AN151)</f>
        <v/>
      </c>
      <c r="BL151" s="34" t="str">
        <f aca="false">IF(OR($AU151="",$AV151="",$AU151=0),"",$AV151/$AU151)</f>
        <v/>
      </c>
      <c r="BM151" s="7" t="str">
        <f aca="false">IF($Z151="","",IF(AND($Z151="Y",$AB151&lt;&gt;"N",$AC151&lt;&gt;"Y"),"Y","N"))</f>
        <v/>
      </c>
      <c r="BN151" s="7" t="str">
        <f aca="false">IF($AH151="","",IF($Z151&lt;&gt;"Y","undefined",IF($AH151&lt;=1,"Y","N")))</f>
        <v/>
      </c>
      <c r="BO151" s="7" t="str">
        <f aca="false">IF($AH151="","",IF($Z151&lt;&gt;"Y","undefined",IF($AH151&lt;=10,"Y","N")))</f>
        <v/>
      </c>
      <c r="BP151" s="7" t="str">
        <f aca="false">IF($AH151="","",IF($Z151&lt;&gt;"Y","undefined",IF($AH151&lt;=100,"Y","N")))</f>
        <v/>
      </c>
    </row>
    <row r="152" customFormat="false" ht="15" hidden="false" customHeight="false" outlineLevel="0" collapsed="false">
      <c r="A152" s="7" t="str">
        <f aca="false">IF($B152="","",$B152&amp;"|"&amp;$C152&amp;"|"&amp;$F152)</f>
        <v/>
      </c>
      <c r="B152" s="5"/>
      <c r="C152" s="5"/>
      <c r="D152" s="5"/>
      <c r="E152" s="5"/>
      <c r="F152" s="5"/>
      <c r="G152" s="5"/>
      <c r="H152" s="5"/>
      <c r="I152" s="5"/>
      <c r="J152" s="20"/>
      <c r="K152" s="20"/>
      <c r="L152" s="28"/>
      <c r="M152" s="20"/>
      <c r="N152" s="28"/>
      <c r="O152" s="19"/>
      <c r="P152" s="19"/>
      <c r="Q152" s="5"/>
      <c r="R152" s="19"/>
      <c r="S152" s="5"/>
      <c r="T152" s="20"/>
      <c r="U152" s="20"/>
      <c r="V152" s="29"/>
      <c r="W152" s="28"/>
      <c r="X152" s="19"/>
      <c r="Y152" s="19"/>
      <c r="Z152" s="5"/>
      <c r="AA152" s="19"/>
      <c r="AB152" s="5"/>
      <c r="AC152" s="5"/>
      <c r="AD152" s="5"/>
      <c r="AE152" s="5"/>
      <c r="AF152" s="30"/>
      <c r="AG152" s="30"/>
      <c r="AH152" s="30"/>
      <c r="AI152" s="30"/>
      <c r="AJ152" s="30"/>
      <c r="AK152" s="30"/>
      <c r="AL152" s="28"/>
      <c r="AM152" s="5"/>
      <c r="AN152" s="19"/>
      <c r="AO152" s="19"/>
      <c r="AP152" s="5"/>
      <c r="AQ152" s="5"/>
      <c r="AR152" s="5"/>
      <c r="AS152" s="5"/>
      <c r="AT152" s="5"/>
      <c r="AU152" s="19"/>
      <c r="AV152" s="19"/>
      <c r="AW152" s="5"/>
      <c r="AX152" s="5"/>
      <c r="AY152" s="19"/>
      <c r="AZ152" s="30"/>
      <c r="BA152" s="5"/>
      <c r="BB152" s="31" t="str">
        <f aca="false">IF(OR($T152="",$M152=""),"",$T152-$M152)</f>
        <v/>
      </c>
      <c r="BC152" s="32" t="str">
        <f aca="false">IF(OR($T152="",$M152="",$M152=0),"",($T152-$M152)/$M152)</f>
        <v/>
      </c>
      <c r="BD152" s="31" t="str">
        <f aca="false">IF(OR($U152="",$M152=""),"",$U152-$M152)</f>
        <v/>
      </c>
      <c r="BE152" s="32" t="str">
        <f aca="false">IF(OR($U152="",$M152="",$M152=0),"",($U152-$M152)/$M152)</f>
        <v/>
      </c>
      <c r="BF152" s="32" t="str">
        <f aca="false">IF(OR($U152="",$J152="",$J152=0),"",($U152-$J152)/$J152)</f>
        <v/>
      </c>
      <c r="BG152" s="32" t="str">
        <f aca="false">IF(OR($M152="",$K152="",$K152=0),"",($M152-$K152)/$K152)</f>
        <v/>
      </c>
      <c r="BH152" s="32" t="str">
        <f aca="false">IF(OR($W152="",$N152="",$N152=0),"",($W152-$N152)/$N152)</f>
        <v/>
      </c>
      <c r="BI152" s="33" t="str">
        <f aca="false">IF(OR($O152="",$X152=""),"",$O152-$X152)</f>
        <v/>
      </c>
      <c r="BJ152" s="33" t="str">
        <f aca="false">IF(OR($P152="",$Y152=""),"",$P152-$Y152)</f>
        <v/>
      </c>
      <c r="BK152" s="34" t="str">
        <f aca="false">IF(OR($AN152="",$AO152="",$AN152=0),"",$AO152/$AN152)</f>
        <v/>
      </c>
      <c r="BL152" s="34" t="str">
        <f aca="false">IF(OR($AU152="",$AV152="",$AU152=0),"",$AV152/$AU152)</f>
        <v/>
      </c>
      <c r="BM152" s="7" t="str">
        <f aca="false">IF($Z152="","",IF(AND($Z152="Y",$AB152&lt;&gt;"N",$AC152&lt;&gt;"Y"),"Y","N"))</f>
        <v/>
      </c>
      <c r="BN152" s="7" t="str">
        <f aca="false">IF($AH152="","",IF($Z152&lt;&gt;"Y","undefined",IF($AH152&lt;=1,"Y","N")))</f>
        <v/>
      </c>
      <c r="BO152" s="7" t="str">
        <f aca="false">IF($AH152="","",IF($Z152&lt;&gt;"Y","undefined",IF($AH152&lt;=10,"Y","N")))</f>
        <v/>
      </c>
      <c r="BP152" s="7" t="str">
        <f aca="false">IF($AH152="","",IF($Z152&lt;&gt;"Y","undefined",IF($AH152&lt;=100,"Y","N")))</f>
        <v/>
      </c>
    </row>
    <row r="153" customFormat="false" ht="15" hidden="false" customHeight="false" outlineLevel="0" collapsed="false">
      <c r="A153" s="7" t="str">
        <f aca="false">IF($B153="","",$B153&amp;"|"&amp;$C153&amp;"|"&amp;$F153)</f>
        <v/>
      </c>
      <c r="B153" s="5"/>
      <c r="C153" s="5"/>
      <c r="D153" s="5"/>
      <c r="E153" s="5"/>
      <c r="F153" s="5"/>
      <c r="G153" s="5"/>
      <c r="H153" s="5"/>
      <c r="I153" s="5"/>
      <c r="J153" s="20"/>
      <c r="K153" s="20"/>
      <c r="L153" s="28"/>
      <c r="M153" s="20"/>
      <c r="N153" s="28"/>
      <c r="O153" s="19"/>
      <c r="P153" s="19"/>
      <c r="Q153" s="5"/>
      <c r="R153" s="19"/>
      <c r="S153" s="5"/>
      <c r="T153" s="20"/>
      <c r="U153" s="20"/>
      <c r="V153" s="29"/>
      <c r="W153" s="28"/>
      <c r="X153" s="19"/>
      <c r="Y153" s="19"/>
      <c r="Z153" s="5"/>
      <c r="AA153" s="19"/>
      <c r="AB153" s="5"/>
      <c r="AC153" s="5"/>
      <c r="AD153" s="5"/>
      <c r="AE153" s="5"/>
      <c r="AF153" s="30"/>
      <c r="AG153" s="30"/>
      <c r="AH153" s="30"/>
      <c r="AI153" s="30"/>
      <c r="AJ153" s="30"/>
      <c r="AK153" s="30"/>
      <c r="AL153" s="28"/>
      <c r="AM153" s="5"/>
      <c r="AN153" s="19"/>
      <c r="AO153" s="19"/>
      <c r="AP153" s="5"/>
      <c r="AQ153" s="5"/>
      <c r="AR153" s="5"/>
      <c r="AS153" s="5"/>
      <c r="AT153" s="5"/>
      <c r="AU153" s="19"/>
      <c r="AV153" s="19"/>
      <c r="AW153" s="5"/>
      <c r="AX153" s="5"/>
      <c r="AY153" s="19"/>
      <c r="AZ153" s="30"/>
      <c r="BA153" s="5"/>
      <c r="BB153" s="31" t="str">
        <f aca="false">IF(OR($T153="",$M153=""),"",$T153-$M153)</f>
        <v/>
      </c>
      <c r="BC153" s="32" t="str">
        <f aca="false">IF(OR($T153="",$M153="",$M153=0),"",($T153-$M153)/$M153)</f>
        <v/>
      </c>
      <c r="BD153" s="31" t="str">
        <f aca="false">IF(OR($U153="",$M153=""),"",$U153-$M153)</f>
        <v/>
      </c>
      <c r="BE153" s="32" t="str">
        <f aca="false">IF(OR($U153="",$M153="",$M153=0),"",($U153-$M153)/$M153)</f>
        <v/>
      </c>
      <c r="BF153" s="32" t="str">
        <f aca="false">IF(OR($U153="",$J153="",$J153=0),"",($U153-$J153)/$J153)</f>
        <v/>
      </c>
      <c r="BG153" s="32" t="str">
        <f aca="false">IF(OR($M153="",$K153="",$K153=0),"",($M153-$K153)/$K153)</f>
        <v/>
      </c>
      <c r="BH153" s="32" t="str">
        <f aca="false">IF(OR($W153="",$N153="",$N153=0),"",($W153-$N153)/$N153)</f>
        <v/>
      </c>
      <c r="BI153" s="33" t="str">
        <f aca="false">IF(OR($O153="",$X153=""),"",$O153-$X153)</f>
        <v/>
      </c>
      <c r="BJ153" s="33" t="str">
        <f aca="false">IF(OR($P153="",$Y153=""),"",$P153-$Y153)</f>
        <v/>
      </c>
      <c r="BK153" s="34" t="str">
        <f aca="false">IF(OR($AN153="",$AO153="",$AN153=0),"",$AO153/$AN153)</f>
        <v/>
      </c>
      <c r="BL153" s="34" t="str">
        <f aca="false">IF(OR($AU153="",$AV153="",$AU153=0),"",$AV153/$AU153)</f>
        <v/>
      </c>
      <c r="BM153" s="7" t="str">
        <f aca="false">IF($Z153="","",IF(AND($Z153="Y",$AB153&lt;&gt;"N",$AC153&lt;&gt;"Y"),"Y","N"))</f>
        <v/>
      </c>
      <c r="BN153" s="7" t="str">
        <f aca="false">IF($AH153="","",IF($Z153&lt;&gt;"Y","undefined",IF($AH153&lt;=1,"Y","N")))</f>
        <v/>
      </c>
      <c r="BO153" s="7" t="str">
        <f aca="false">IF($AH153="","",IF($Z153&lt;&gt;"Y","undefined",IF($AH153&lt;=10,"Y","N")))</f>
        <v/>
      </c>
      <c r="BP153" s="7" t="str">
        <f aca="false">IF($AH153="","",IF($Z153&lt;&gt;"Y","undefined",IF($AH153&lt;=100,"Y","N")))</f>
        <v/>
      </c>
    </row>
    <row r="154" customFormat="false" ht="15" hidden="false" customHeight="false" outlineLevel="0" collapsed="false">
      <c r="A154" s="7" t="str">
        <f aca="false">IF($B154="","",$B154&amp;"|"&amp;$C154&amp;"|"&amp;$F154)</f>
        <v/>
      </c>
      <c r="B154" s="5"/>
      <c r="C154" s="5"/>
      <c r="D154" s="5"/>
      <c r="E154" s="5"/>
      <c r="F154" s="5"/>
      <c r="G154" s="5"/>
      <c r="H154" s="5"/>
      <c r="I154" s="5"/>
      <c r="J154" s="20"/>
      <c r="K154" s="20"/>
      <c r="L154" s="28"/>
      <c r="M154" s="20"/>
      <c r="N154" s="28"/>
      <c r="O154" s="19"/>
      <c r="P154" s="19"/>
      <c r="Q154" s="5"/>
      <c r="R154" s="19"/>
      <c r="S154" s="5"/>
      <c r="T154" s="20"/>
      <c r="U154" s="20"/>
      <c r="V154" s="29"/>
      <c r="W154" s="28"/>
      <c r="X154" s="19"/>
      <c r="Y154" s="19"/>
      <c r="Z154" s="5"/>
      <c r="AA154" s="19"/>
      <c r="AB154" s="5"/>
      <c r="AC154" s="5"/>
      <c r="AD154" s="5"/>
      <c r="AE154" s="5"/>
      <c r="AF154" s="30"/>
      <c r="AG154" s="30"/>
      <c r="AH154" s="30"/>
      <c r="AI154" s="30"/>
      <c r="AJ154" s="30"/>
      <c r="AK154" s="30"/>
      <c r="AL154" s="28"/>
      <c r="AM154" s="5"/>
      <c r="AN154" s="19"/>
      <c r="AO154" s="19"/>
      <c r="AP154" s="5"/>
      <c r="AQ154" s="5"/>
      <c r="AR154" s="5"/>
      <c r="AS154" s="5"/>
      <c r="AT154" s="5"/>
      <c r="AU154" s="19"/>
      <c r="AV154" s="19"/>
      <c r="AW154" s="5"/>
      <c r="AX154" s="5"/>
      <c r="AY154" s="19"/>
      <c r="AZ154" s="30"/>
      <c r="BA154" s="5"/>
      <c r="BB154" s="31" t="str">
        <f aca="false">IF(OR($T154="",$M154=""),"",$T154-$M154)</f>
        <v/>
      </c>
      <c r="BC154" s="32" t="str">
        <f aca="false">IF(OR($T154="",$M154="",$M154=0),"",($T154-$M154)/$M154)</f>
        <v/>
      </c>
      <c r="BD154" s="31" t="str">
        <f aca="false">IF(OR($U154="",$M154=""),"",$U154-$M154)</f>
        <v/>
      </c>
      <c r="BE154" s="32" t="str">
        <f aca="false">IF(OR($U154="",$M154="",$M154=0),"",($U154-$M154)/$M154)</f>
        <v/>
      </c>
      <c r="BF154" s="32" t="str">
        <f aca="false">IF(OR($U154="",$J154="",$J154=0),"",($U154-$J154)/$J154)</f>
        <v/>
      </c>
      <c r="BG154" s="32" t="str">
        <f aca="false">IF(OR($M154="",$K154="",$K154=0),"",($M154-$K154)/$K154)</f>
        <v/>
      </c>
      <c r="BH154" s="32" t="str">
        <f aca="false">IF(OR($W154="",$N154="",$N154=0),"",($W154-$N154)/$N154)</f>
        <v/>
      </c>
      <c r="BI154" s="33" t="str">
        <f aca="false">IF(OR($O154="",$X154=""),"",$O154-$X154)</f>
        <v/>
      </c>
      <c r="BJ154" s="33" t="str">
        <f aca="false">IF(OR($P154="",$Y154=""),"",$P154-$Y154)</f>
        <v/>
      </c>
      <c r="BK154" s="34" t="str">
        <f aca="false">IF(OR($AN154="",$AO154="",$AN154=0),"",$AO154/$AN154)</f>
        <v/>
      </c>
      <c r="BL154" s="34" t="str">
        <f aca="false">IF(OR($AU154="",$AV154="",$AU154=0),"",$AV154/$AU154)</f>
        <v/>
      </c>
      <c r="BM154" s="7" t="str">
        <f aca="false">IF($Z154="","",IF(AND($Z154="Y",$AB154&lt;&gt;"N",$AC154&lt;&gt;"Y"),"Y","N"))</f>
        <v/>
      </c>
      <c r="BN154" s="7" t="str">
        <f aca="false">IF($AH154="","",IF($Z154&lt;&gt;"Y","undefined",IF($AH154&lt;=1,"Y","N")))</f>
        <v/>
      </c>
      <c r="BO154" s="7" t="str">
        <f aca="false">IF($AH154="","",IF($Z154&lt;&gt;"Y","undefined",IF($AH154&lt;=10,"Y","N")))</f>
        <v/>
      </c>
      <c r="BP154" s="7" t="str">
        <f aca="false">IF($AH154="","",IF($Z154&lt;&gt;"Y","undefined",IF($AH154&lt;=100,"Y","N")))</f>
        <v/>
      </c>
    </row>
    <row r="155" customFormat="false" ht="15" hidden="false" customHeight="false" outlineLevel="0" collapsed="false">
      <c r="A155" s="7" t="str">
        <f aca="false">IF($B155="","",$B155&amp;"|"&amp;$C155&amp;"|"&amp;$F155)</f>
        <v/>
      </c>
      <c r="B155" s="5"/>
      <c r="C155" s="5"/>
      <c r="D155" s="5"/>
      <c r="E155" s="5"/>
      <c r="F155" s="5"/>
      <c r="G155" s="5"/>
      <c r="H155" s="5"/>
      <c r="I155" s="5"/>
      <c r="J155" s="20"/>
      <c r="K155" s="20"/>
      <c r="L155" s="28"/>
      <c r="M155" s="20"/>
      <c r="N155" s="28"/>
      <c r="O155" s="19"/>
      <c r="P155" s="19"/>
      <c r="Q155" s="5"/>
      <c r="R155" s="19"/>
      <c r="S155" s="5"/>
      <c r="T155" s="20"/>
      <c r="U155" s="20"/>
      <c r="V155" s="29"/>
      <c r="W155" s="28"/>
      <c r="X155" s="19"/>
      <c r="Y155" s="19"/>
      <c r="Z155" s="5"/>
      <c r="AA155" s="19"/>
      <c r="AB155" s="5"/>
      <c r="AC155" s="5"/>
      <c r="AD155" s="5"/>
      <c r="AE155" s="5"/>
      <c r="AF155" s="30"/>
      <c r="AG155" s="30"/>
      <c r="AH155" s="30"/>
      <c r="AI155" s="30"/>
      <c r="AJ155" s="30"/>
      <c r="AK155" s="30"/>
      <c r="AL155" s="28"/>
      <c r="AM155" s="5"/>
      <c r="AN155" s="19"/>
      <c r="AO155" s="19"/>
      <c r="AP155" s="5"/>
      <c r="AQ155" s="5"/>
      <c r="AR155" s="5"/>
      <c r="AS155" s="5"/>
      <c r="AT155" s="5"/>
      <c r="AU155" s="19"/>
      <c r="AV155" s="19"/>
      <c r="AW155" s="5"/>
      <c r="AX155" s="5"/>
      <c r="AY155" s="19"/>
      <c r="AZ155" s="30"/>
      <c r="BA155" s="5"/>
      <c r="BB155" s="31" t="str">
        <f aca="false">IF(OR($T155="",$M155=""),"",$T155-$M155)</f>
        <v/>
      </c>
      <c r="BC155" s="32" t="str">
        <f aca="false">IF(OR($T155="",$M155="",$M155=0),"",($T155-$M155)/$M155)</f>
        <v/>
      </c>
      <c r="BD155" s="31" t="str">
        <f aca="false">IF(OR($U155="",$M155=""),"",$U155-$M155)</f>
        <v/>
      </c>
      <c r="BE155" s="32" t="str">
        <f aca="false">IF(OR($U155="",$M155="",$M155=0),"",($U155-$M155)/$M155)</f>
        <v/>
      </c>
      <c r="BF155" s="32" t="str">
        <f aca="false">IF(OR($U155="",$J155="",$J155=0),"",($U155-$J155)/$J155)</f>
        <v/>
      </c>
      <c r="BG155" s="32" t="str">
        <f aca="false">IF(OR($M155="",$K155="",$K155=0),"",($M155-$K155)/$K155)</f>
        <v/>
      </c>
      <c r="BH155" s="32" t="str">
        <f aca="false">IF(OR($W155="",$N155="",$N155=0),"",($W155-$N155)/$N155)</f>
        <v/>
      </c>
      <c r="BI155" s="33" t="str">
        <f aca="false">IF(OR($O155="",$X155=""),"",$O155-$X155)</f>
        <v/>
      </c>
      <c r="BJ155" s="33" t="str">
        <f aca="false">IF(OR($P155="",$Y155=""),"",$P155-$Y155)</f>
        <v/>
      </c>
      <c r="BK155" s="34" t="str">
        <f aca="false">IF(OR($AN155="",$AO155="",$AN155=0),"",$AO155/$AN155)</f>
        <v/>
      </c>
      <c r="BL155" s="34" t="str">
        <f aca="false">IF(OR($AU155="",$AV155="",$AU155=0),"",$AV155/$AU155)</f>
        <v/>
      </c>
      <c r="BM155" s="7" t="str">
        <f aca="false">IF($Z155="","",IF(AND($Z155="Y",$AB155&lt;&gt;"N",$AC155&lt;&gt;"Y"),"Y","N"))</f>
        <v/>
      </c>
      <c r="BN155" s="7" t="str">
        <f aca="false">IF($AH155="","",IF($Z155&lt;&gt;"Y","undefined",IF($AH155&lt;=1,"Y","N")))</f>
        <v/>
      </c>
      <c r="BO155" s="7" t="str">
        <f aca="false">IF($AH155="","",IF($Z155&lt;&gt;"Y","undefined",IF($AH155&lt;=10,"Y","N")))</f>
        <v/>
      </c>
      <c r="BP155" s="7" t="str">
        <f aca="false">IF($AH155="","",IF($Z155&lt;&gt;"Y","undefined",IF($AH155&lt;=100,"Y","N")))</f>
        <v/>
      </c>
    </row>
    <row r="156" customFormat="false" ht="15" hidden="false" customHeight="false" outlineLevel="0" collapsed="false">
      <c r="A156" s="7" t="str">
        <f aca="false">IF($B156="","",$B156&amp;"|"&amp;$C156&amp;"|"&amp;$F156)</f>
        <v/>
      </c>
      <c r="B156" s="5"/>
      <c r="C156" s="5"/>
      <c r="D156" s="5"/>
      <c r="E156" s="5"/>
      <c r="F156" s="5"/>
      <c r="G156" s="5"/>
      <c r="H156" s="5"/>
      <c r="I156" s="5"/>
      <c r="J156" s="20"/>
      <c r="K156" s="20"/>
      <c r="L156" s="28"/>
      <c r="M156" s="20"/>
      <c r="N156" s="28"/>
      <c r="O156" s="19"/>
      <c r="P156" s="19"/>
      <c r="Q156" s="5"/>
      <c r="R156" s="19"/>
      <c r="S156" s="5"/>
      <c r="T156" s="20"/>
      <c r="U156" s="20"/>
      <c r="V156" s="29"/>
      <c r="W156" s="28"/>
      <c r="X156" s="19"/>
      <c r="Y156" s="19"/>
      <c r="Z156" s="5"/>
      <c r="AA156" s="19"/>
      <c r="AB156" s="5"/>
      <c r="AC156" s="5"/>
      <c r="AD156" s="5"/>
      <c r="AE156" s="5"/>
      <c r="AF156" s="30"/>
      <c r="AG156" s="30"/>
      <c r="AH156" s="30"/>
      <c r="AI156" s="30"/>
      <c r="AJ156" s="30"/>
      <c r="AK156" s="30"/>
      <c r="AL156" s="28"/>
      <c r="AM156" s="5"/>
      <c r="AN156" s="19"/>
      <c r="AO156" s="19"/>
      <c r="AP156" s="5"/>
      <c r="AQ156" s="5"/>
      <c r="AR156" s="5"/>
      <c r="AS156" s="5"/>
      <c r="AT156" s="5"/>
      <c r="AU156" s="19"/>
      <c r="AV156" s="19"/>
      <c r="AW156" s="5"/>
      <c r="AX156" s="5"/>
      <c r="AY156" s="19"/>
      <c r="AZ156" s="30"/>
      <c r="BA156" s="5"/>
      <c r="BB156" s="31" t="str">
        <f aca="false">IF(OR($T156="",$M156=""),"",$T156-$M156)</f>
        <v/>
      </c>
      <c r="BC156" s="32" t="str">
        <f aca="false">IF(OR($T156="",$M156="",$M156=0),"",($T156-$M156)/$M156)</f>
        <v/>
      </c>
      <c r="BD156" s="31" t="str">
        <f aca="false">IF(OR($U156="",$M156=""),"",$U156-$M156)</f>
        <v/>
      </c>
      <c r="BE156" s="32" t="str">
        <f aca="false">IF(OR($U156="",$M156="",$M156=0),"",($U156-$M156)/$M156)</f>
        <v/>
      </c>
      <c r="BF156" s="32" t="str">
        <f aca="false">IF(OR($U156="",$J156="",$J156=0),"",($U156-$J156)/$J156)</f>
        <v/>
      </c>
      <c r="BG156" s="32" t="str">
        <f aca="false">IF(OR($M156="",$K156="",$K156=0),"",($M156-$K156)/$K156)</f>
        <v/>
      </c>
      <c r="BH156" s="32" t="str">
        <f aca="false">IF(OR($W156="",$N156="",$N156=0),"",($W156-$N156)/$N156)</f>
        <v/>
      </c>
      <c r="BI156" s="33" t="str">
        <f aca="false">IF(OR($O156="",$X156=""),"",$O156-$X156)</f>
        <v/>
      </c>
      <c r="BJ156" s="33" t="str">
        <f aca="false">IF(OR($P156="",$Y156=""),"",$P156-$Y156)</f>
        <v/>
      </c>
      <c r="BK156" s="34" t="str">
        <f aca="false">IF(OR($AN156="",$AO156="",$AN156=0),"",$AO156/$AN156)</f>
        <v/>
      </c>
      <c r="BL156" s="34" t="str">
        <f aca="false">IF(OR($AU156="",$AV156="",$AU156=0),"",$AV156/$AU156)</f>
        <v/>
      </c>
      <c r="BM156" s="7" t="str">
        <f aca="false">IF($Z156="","",IF(AND($Z156="Y",$AB156&lt;&gt;"N",$AC156&lt;&gt;"Y"),"Y","N"))</f>
        <v/>
      </c>
      <c r="BN156" s="7" t="str">
        <f aca="false">IF($AH156="","",IF($Z156&lt;&gt;"Y","undefined",IF($AH156&lt;=1,"Y","N")))</f>
        <v/>
      </c>
      <c r="BO156" s="7" t="str">
        <f aca="false">IF($AH156="","",IF($Z156&lt;&gt;"Y","undefined",IF($AH156&lt;=10,"Y","N")))</f>
        <v/>
      </c>
      <c r="BP156" s="7" t="str">
        <f aca="false">IF($AH156="","",IF($Z156&lt;&gt;"Y","undefined",IF($AH156&lt;=100,"Y","N")))</f>
        <v/>
      </c>
    </row>
    <row r="157" customFormat="false" ht="15" hidden="false" customHeight="false" outlineLevel="0" collapsed="false">
      <c r="A157" s="7" t="str">
        <f aca="false">IF($B157="","",$B157&amp;"|"&amp;$C157&amp;"|"&amp;$F157)</f>
        <v/>
      </c>
      <c r="B157" s="5"/>
      <c r="C157" s="5"/>
      <c r="D157" s="5"/>
      <c r="E157" s="5"/>
      <c r="F157" s="5"/>
      <c r="G157" s="5"/>
      <c r="H157" s="5"/>
      <c r="I157" s="5"/>
      <c r="J157" s="20"/>
      <c r="K157" s="20"/>
      <c r="L157" s="28"/>
      <c r="M157" s="20"/>
      <c r="N157" s="28"/>
      <c r="O157" s="19"/>
      <c r="P157" s="19"/>
      <c r="Q157" s="5"/>
      <c r="R157" s="19"/>
      <c r="S157" s="5"/>
      <c r="T157" s="20"/>
      <c r="U157" s="20"/>
      <c r="V157" s="29"/>
      <c r="W157" s="28"/>
      <c r="X157" s="19"/>
      <c r="Y157" s="19"/>
      <c r="Z157" s="5"/>
      <c r="AA157" s="19"/>
      <c r="AB157" s="5"/>
      <c r="AC157" s="5"/>
      <c r="AD157" s="5"/>
      <c r="AE157" s="5"/>
      <c r="AF157" s="30"/>
      <c r="AG157" s="30"/>
      <c r="AH157" s="30"/>
      <c r="AI157" s="30"/>
      <c r="AJ157" s="30"/>
      <c r="AK157" s="30"/>
      <c r="AL157" s="28"/>
      <c r="AM157" s="5"/>
      <c r="AN157" s="19"/>
      <c r="AO157" s="19"/>
      <c r="AP157" s="5"/>
      <c r="AQ157" s="5"/>
      <c r="AR157" s="5"/>
      <c r="AS157" s="5"/>
      <c r="AT157" s="5"/>
      <c r="AU157" s="19"/>
      <c r="AV157" s="19"/>
      <c r="AW157" s="5"/>
      <c r="AX157" s="5"/>
      <c r="AY157" s="19"/>
      <c r="AZ157" s="30"/>
      <c r="BA157" s="5"/>
      <c r="BB157" s="31" t="str">
        <f aca="false">IF(OR($T157="",$M157=""),"",$T157-$M157)</f>
        <v/>
      </c>
      <c r="BC157" s="32" t="str">
        <f aca="false">IF(OR($T157="",$M157="",$M157=0),"",($T157-$M157)/$M157)</f>
        <v/>
      </c>
      <c r="BD157" s="31" t="str">
        <f aca="false">IF(OR($U157="",$M157=""),"",$U157-$M157)</f>
        <v/>
      </c>
      <c r="BE157" s="32" t="str">
        <f aca="false">IF(OR($U157="",$M157="",$M157=0),"",($U157-$M157)/$M157)</f>
        <v/>
      </c>
      <c r="BF157" s="32" t="str">
        <f aca="false">IF(OR($U157="",$J157="",$J157=0),"",($U157-$J157)/$J157)</f>
        <v/>
      </c>
      <c r="BG157" s="32" t="str">
        <f aca="false">IF(OR($M157="",$K157="",$K157=0),"",($M157-$K157)/$K157)</f>
        <v/>
      </c>
      <c r="BH157" s="32" t="str">
        <f aca="false">IF(OR($W157="",$N157="",$N157=0),"",($W157-$N157)/$N157)</f>
        <v/>
      </c>
      <c r="BI157" s="33" t="str">
        <f aca="false">IF(OR($O157="",$X157=""),"",$O157-$X157)</f>
        <v/>
      </c>
      <c r="BJ157" s="33" t="str">
        <f aca="false">IF(OR($P157="",$Y157=""),"",$P157-$Y157)</f>
        <v/>
      </c>
      <c r="BK157" s="34" t="str">
        <f aca="false">IF(OR($AN157="",$AO157="",$AN157=0),"",$AO157/$AN157)</f>
        <v/>
      </c>
      <c r="BL157" s="34" t="str">
        <f aca="false">IF(OR($AU157="",$AV157="",$AU157=0),"",$AV157/$AU157)</f>
        <v/>
      </c>
      <c r="BM157" s="7" t="str">
        <f aca="false">IF($Z157="","",IF(AND($Z157="Y",$AB157&lt;&gt;"N",$AC157&lt;&gt;"Y"),"Y","N"))</f>
        <v/>
      </c>
      <c r="BN157" s="7" t="str">
        <f aca="false">IF($AH157="","",IF($Z157&lt;&gt;"Y","undefined",IF($AH157&lt;=1,"Y","N")))</f>
        <v/>
      </c>
      <c r="BO157" s="7" t="str">
        <f aca="false">IF($AH157="","",IF($Z157&lt;&gt;"Y","undefined",IF($AH157&lt;=10,"Y","N")))</f>
        <v/>
      </c>
      <c r="BP157" s="7" t="str">
        <f aca="false">IF($AH157="","",IF($Z157&lt;&gt;"Y","undefined",IF($AH157&lt;=100,"Y","N")))</f>
        <v/>
      </c>
    </row>
    <row r="158" customFormat="false" ht="15" hidden="false" customHeight="false" outlineLevel="0" collapsed="false">
      <c r="A158" s="7" t="str">
        <f aca="false">IF($B158="","",$B158&amp;"|"&amp;$C158&amp;"|"&amp;$F158)</f>
        <v/>
      </c>
      <c r="B158" s="5"/>
      <c r="C158" s="5"/>
      <c r="D158" s="5"/>
      <c r="E158" s="5"/>
      <c r="F158" s="5"/>
      <c r="G158" s="5"/>
      <c r="H158" s="5"/>
      <c r="I158" s="5"/>
      <c r="J158" s="20"/>
      <c r="K158" s="20"/>
      <c r="L158" s="28"/>
      <c r="M158" s="20"/>
      <c r="N158" s="28"/>
      <c r="O158" s="19"/>
      <c r="P158" s="19"/>
      <c r="Q158" s="5"/>
      <c r="R158" s="19"/>
      <c r="S158" s="5"/>
      <c r="T158" s="20"/>
      <c r="U158" s="20"/>
      <c r="V158" s="29"/>
      <c r="W158" s="28"/>
      <c r="X158" s="19"/>
      <c r="Y158" s="19"/>
      <c r="Z158" s="5"/>
      <c r="AA158" s="19"/>
      <c r="AB158" s="5"/>
      <c r="AC158" s="5"/>
      <c r="AD158" s="5"/>
      <c r="AE158" s="5"/>
      <c r="AF158" s="30"/>
      <c r="AG158" s="30"/>
      <c r="AH158" s="30"/>
      <c r="AI158" s="30"/>
      <c r="AJ158" s="30"/>
      <c r="AK158" s="30"/>
      <c r="AL158" s="28"/>
      <c r="AM158" s="5"/>
      <c r="AN158" s="19"/>
      <c r="AO158" s="19"/>
      <c r="AP158" s="5"/>
      <c r="AQ158" s="5"/>
      <c r="AR158" s="5"/>
      <c r="AS158" s="5"/>
      <c r="AT158" s="5"/>
      <c r="AU158" s="19"/>
      <c r="AV158" s="19"/>
      <c r="AW158" s="5"/>
      <c r="AX158" s="5"/>
      <c r="AY158" s="19"/>
      <c r="AZ158" s="30"/>
      <c r="BA158" s="5"/>
      <c r="BB158" s="31" t="str">
        <f aca="false">IF(OR($T158="",$M158=""),"",$T158-$M158)</f>
        <v/>
      </c>
      <c r="BC158" s="32" t="str">
        <f aca="false">IF(OR($T158="",$M158="",$M158=0),"",($T158-$M158)/$M158)</f>
        <v/>
      </c>
      <c r="BD158" s="31" t="str">
        <f aca="false">IF(OR($U158="",$M158=""),"",$U158-$M158)</f>
        <v/>
      </c>
      <c r="BE158" s="32" t="str">
        <f aca="false">IF(OR($U158="",$M158="",$M158=0),"",($U158-$M158)/$M158)</f>
        <v/>
      </c>
      <c r="BF158" s="32" t="str">
        <f aca="false">IF(OR($U158="",$J158="",$J158=0),"",($U158-$J158)/$J158)</f>
        <v/>
      </c>
      <c r="BG158" s="32" t="str">
        <f aca="false">IF(OR($M158="",$K158="",$K158=0),"",($M158-$K158)/$K158)</f>
        <v/>
      </c>
      <c r="BH158" s="32" t="str">
        <f aca="false">IF(OR($W158="",$N158="",$N158=0),"",($W158-$N158)/$N158)</f>
        <v/>
      </c>
      <c r="BI158" s="33" t="str">
        <f aca="false">IF(OR($O158="",$X158=""),"",$O158-$X158)</f>
        <v/>
      </c>
      <c r="BJ158" s="33" t="str">
        <f aca="false">IF(OR($P158="",$Y158=""),"",$P158-$Y158)</f>
        <v/>
      </c>
      <c r="BK158" s="34" t="str">
        <f aca="false">IF(OR($AN158="",$AO158="",$AN158=0),"",$AO158/$AN158)</f>
        <v/>
      </c>
      <c r="BL158" s="34" t="str">
        <f aca="false">IF(OR($AU158="",$AV158="",$AU158=0),"",$AV158/$AU158)</f>
        <v/>
      </c>
      <c r="BM158" s="7" t="str">
        <f aca="false">IF($Z158="","",IF(AND($Z158="Y",$AB158&lt;&gt;"N",$AC158&lt;&gt;"Y"),"Y","N"))</f>
        <v/>
      </c>
      <c r="BN158" s="7" t="str">
        <f aca="false">IF($AH158="","",IF($Z158&lt;&gt;"Y","undefined",IF($AH158&lt;=1,"Y","N")))</f>
        <v/>
      </c>
      <c r="BO158" s="7" t="str">
        <f aca="false">IF($AH158="","",IF($Z158&lt;&gt;"Y","undefined",IF($AH158&lt;=10,"Y","N")))</f>
        <v/>
      </c>
      <c r="BP158" s="7" t="str">
        <f aca="false">IF($AH158="","",IF($Z158&lt;&gt;"Y","undefined",IF($AH158&lt;=100,"Y","N")))</f>
        <v/>
      </c>
    </row>
    <row r="159" customFormat="false" ht="15" hidden="false" customHeight="false" outlineLevel="0" collapsed="false">
      <c r="A159" s="7" t="str">
        <f aca="false">IF($B159="","",$B159&amp;"|"&amp;$C159&amp;"|"&amp;$F159)</f>
        <v/>
      </c>
      <c r="B159" s="5"/>
      <c r="C159" s="5"/>
      <c r="D159" s="5"/>
      <c r="E159" s="5"/>
      <c r="F159" s="5"/>
      <c r="G159" s="5"/>
      <c r="H159" s="5"/>
      <c r="I159" s="5"/>
      <c r="J159" s="20"/>
      <c r="K159" s="20"/>
      <c r="L159" s="28"/>
      <c r="M159" s="20"/>
      <c r="N159" s="28"/>
      <c r="O159" s="19"/>
      <c r="P159" s="19"/>
      <c r="Q159" s="5"/>
      <c r="R159" s="19"/>
      <c r="S159" s="5"/>
      <c r="T159" s="20"/>
      <c r="U159" s="20"/>
      <c r="V159" s="29"/>
      <c r="W159" s="28"/>
      <c r="X159" s="19"/>
      <c r="Y159" s="19"/>
      <c r="Z159" s="5"/>
      <c r="AA159" s="19"/>
      <c r="AB159" s="5"/>
      <c r="AC159" s="5"/>
      <c r="AD159" s="5"/>
      <c r="AE159" s="5"/>
      <c r="AF159" s="30"/>
      <c r="AG159" s="30"/>
      <c r="AH159" s="30"/>
      <c r="AI159" s="30"/>
      <c r="AJ159" s="30"/>
      <c r="AK159" s="30"/>
      <c r="AL159" s="28"/>
      <c r="AM159" s="5"/>
      <c r="AN159" s="19"/>
      <c r="AO159" s="19"/>
      <c r="AP159" s="5"/>
      <c r="AQ159" s="5"/>
      <c r="AR159" s="5"/>
      <c r="AS159" s="5"/>
      <c r="AT159" s="5"/>
      <c r="AU159" s="19"/>
      <c r="AV159" s="19"/>
      <c r="AW159" s="5"/>
      <c r="AX159" s="5"/>
      <c r="AY159" s="19"/>
      <c r="AZ159" s="30"/>
      <c r="BA159" s="5"/>
      <c r="BB159" s="31" t="str">
        <f aca="false">IF(OR($T159="",$M159=""),"",$T159-$M159)</f>
        <v/>
      </c>
      <c r="BC159" s="32" t="str">
        <f aca="false">IF(OR($T159="",$M159="",$M159=0),"",($T159-$M159)/$M159)</f>
        <v/>
      </c>
      <c r="BD159" s="31" t="str">
        <f aca="false">IF(OR($U159="",$M159=""),"",$U159-$M159)</f>
        <v/>
      </c>
      <c r="BE159" s="32" t="str">
        <f aca="false">IF(OR($U159="",$M159="",$M159=0),"",($U159-$M159)/$M159)</f>
        <v/>
      </c>
      <c r="BF159" s="32" t="str">
        <f aca="false">IF(OR($U159="",$J159="",$J159=0),"",($U159-$J159)/$J159)</f>
        <v/>
      </c>
      <c r="BG159" s="32" t="str">
        <f aca="false">IF(OR($M159="",$K159="",$K159=0),"",($M159-$K159)/$K159)</f>
        <v/>
      </c>
      <c r="BH159" s="32" t="str">
        <f aca="false">IF(OR($W159="",$N159="",$N159=0),"",($W159-$N159)/$N159)</f>
        <v/>
      </c>
      <c r="BI159" s="33" t="str">
        <f aca="false">IF(OR($O159="",$X159=""),"",$O159-$X159)</f>
        <v/>
      </c>
      <c r="BJ159" s="33" t="str">
        <f aca="false">IF(OR($P159="",$Y159=""),"",$P159-$Y159)</f>
        <v/>
      </c>
      <c r="BK159" s="34" t="str">
        <f aca="false">IF(OR($AN159="",$AO159="",$AN159=0),"",$AO159/$AN159)</f>
        <v/>
      </c>
      <c r="BL159" s="34" t="str">
        <f aca="false">IF(OR($AU159="",$AV159="",$AU159=0),"",$AV159/$AU159)</f>
        <v/>
      </c>
      <c r="BM159" s="7" t="str">
        <f aca="false">IF($Z159="","",IF(AND($Z159="Y",$AB159&lt;&gt;"N",$AC159&lt;&gt;"Y"),"Y","N"))</f>
        <v/>
      </c>
      <c r="BN159" s="7" t="str">
        <f aca="false">IF($AH159="","",IF($Z159&lt;&gt;"Y","undefined",IF($AH159&lt;=1,"Y","N")))</f>
        <v/>
      </c>
      <c r="BO159" s="7" t="str">
        <f aca="false">IF($AH159="","",IF($Z159&lt;&gt;"Y","undefined",IF($AH159&lt;=10,"Y","N")))</f>
        <v/>
      </c>
      <c r="BP159" s="7" t="str">
        <f aca="false">IF($AH159="","",IF($Z159&lt;&gt;"Y","undefined",IF($AH159&lt;=100,"Y","N")))</f>
        <v/>
      </c>
    </row>
    <row r="160" customFormat="false" ht="15" hidden="false" customHeight="false" outlineLevel="0" collapsed="false">
      <c r="A160" s="7" t="str">
        <f aca="false">IF($B160="","",$B160&amp;"|"&amp;$C160&amp;"|"&amp;$F160)</f>
        <v/>
      </c>
      <c r="B160" s="5"/>
      <c r="C160" s="5"/>
      <c r="D160" s="5"/>
      <c r="E160" s="5"/>
      <c r="F160" s="5"/>
      <c r="G160" s="5"/>
      <c r="H160" s="5"/>
      <c r="I160" s="5"/>
      <c r="J160" s="20"/>
      <c r="K160" s="20"/>
      <c r="L160" s="28"/>
      <c r="M160" s="20"/>
      <c r="N160" s="28"/>
      <c r="O160" s="19"/>
      <c r="P160" s="19"/>
      <c r="Q160" s="5"/>
      <c r="R160" s="19"/>
      <c r="S160" s="5"/>
      <c r="T160" s="20"/>
      <c r="U160" s="20"/>
      <c r="V160" s="29"/>
      <c r="W160" s="28"/>
      <c r="X160" s="19"/>
      <c r="Y160" s="19"/>
      <c r="Z160" s="5"/>
      <c r="AA160" s="19"/>
      <c r="AB160" s="5"/>
      <c r="AC160" s="5"/>
      <c r="AD160" s="5"/>
      <c r="AE160" s="5"/>
      <c r="AF160" s="30"/>
      <c r="AG160" s="30"/>
      <c r="AH160" s="30"/>
      <c r="AI160" s="30"/>
      <c r="AJ160" s="30"/>
      <c r="AK160" s="30"/>
      <c r="AL160" s="28"/>
      <c r="AM160" s="5"/>
      <c r="AN160" s="19"/>
      <c r="AO160" s="19"/>
      <c r="AP160" s="5"/>
      <c r="AQ160" s="5"/>
      <c r="AR160" s="5"/>
      <c r="AS160" s="5"/>
      <c r="AT160" s="5"/>
      <c r="AU160" s="19"/>
      <c r="AV160" s="19"/>
      <c r="AW160" s="5"/>
      <c r="AX160" s="5"/>
      <c r="AY160" s="19"/>
      <c r="AZ160" s="30"/>
      <c r="BA160" s="5"/>
      <c r="BB160" s="31" t="str">
        <f aca="false">IF(OR($T160="",$M160=""),"",$T160-$M160)</f>
        <v/>
      </c>
      <c r="BC160" s="32" t="str">
        <f aca="false">IF(OR($T160="",$M160="",$M160=0),"",($T160-$M160)/$M160)</f>
        <v/>
      </c>
      <c r="BD160" s="31" t="str">
        <f aca="false">IF(OR($U160="",$M160=""),"",$U160-$M160)</f>
        <v/>
      </c>
      <c r="BE160" s="32" t="str">
        <f aca="false">IF(OR($U160="",$M160="",$M160=0),"",($U160-$M160)/$M160)</f>
        <v/>
      </c>
      <c r="BF160" s="32" t="str">
        <f aca="false">IF(OR($U160="",$J160="",$J160=0),"",($U160-$J160)/$J160)</f>
        <v/>
      </c>
      <c r="BG160" s="32" t="str">
        <f aca="false">IF(OR($M160="",$K160="",$K160=0),"",($M160-$K160)/$K160)</f>
        <v/>
      </c>
      <c r="BH160" s="32" t="str">
        <f aca="false">IF(OR($W160="",$N160="",$N160=0),"",($W160-$N160)/$N160)</f>
        <v/>
      </c>
      <c r="BI160" s="33" t="str">
        <f aca="false">IF(OR($O160="",$X160=""),"",$O160-$X160)</f>
        <v/>
      </c>
      <c r="BJ160" s="33" t="str">
        <f aca="false">IF(OR($P160="",$Y160=""),"",$P160-$Y160)</f>
        <v/>
      </c>
      <c r="BK160" s="34" t="str">
        <f aca="false">IF(OR($AN160="",$AO160="",$AN160=0),"",$AO160/$AN160)</f>
        <v/>
      </c>
      <c r="BL160" s="34" t="str">
        <f aca="false">IF(OR($AU160="",$AV160="",$AU160=0),"",$AV160/$AU160)</f>
        <v/>
      </c>
      <c r="BM160" s="7" t="str">
        <f aca="false">IF($Z160="","",IF(AND($Z160="Y",$AB160&lt;&gt;"N",$AC160&lt;&gt;"Y"),"Y","N"))</f>
        <v/>
      </c>
      <c r="BN160" s="7" t="str">
        <f aca="false">IF($AH160="","",IF($Z160&lt;&gt;"Y","undefined",IF($AH160&lt;=1,"Y","N")))</f>
        <v/>
      </c>
      <c r="BO160" s="7" t="str">
        <f aca="false">IF($AH160="","",IF($Z160&lt;&gt;"Y","undefined",IF($AH160&lt;=10,"Y","N")))</f>
        <v/>
      </c>
      <c r="BP160" s="7" t="str">
        <f aca="false">IF($AH160="","",IF($Z160&lt;&gt;"Y","undefined",IF($AH160&lt;=100,"Y","N")))</f>
        <v/>
      </c>
    </row>
    <row r="161" customFormat="false" ht="15" hidden="false" customHeight="false" outlineLevel="0" collapsed="false">
      <c r="A161" s="7" t="str">
        <f aca="false">IF($B161="","",$B161&amp;"|"&amp;$C161&amp;"|"&amp;$F161)</f>
        <v/>
      </c>
      <c r="B161" s="5"/>
      <c r="C161" s="5"/>
      <c r="D161" s="5"/>
      <c r="E161" s="5"/>
      <c r="F161" s="5"/>
      <c r="G161" s="5"/>
      <c r="H161" s="5"/>
      <c r="I161" s="5"/>
      <c r="J161" s="20"/>
      <c r="K161" s="20"/>
      <c r="L161" s="28"/>
      <c r="M161" s="20"/>
      <c r="N161" s="28"/>
      <c r="O161" s="19"/>
      <c r="P161" s="19"/>
      <c r="Q161" s="5"/>
      <c r="R161" s="19"/>
      <c r="S161" s="5"/>
      <c r="T161" s="20"/>
      <c r="U161" s="20"/>
      <c r="V161" s="29"/>
      <c r="W161" s="28"/>
      <c r="X161" s="19"/>
      <c r="Y161" s="19"/>
      <c r="Z161" s="5"/>
      <c r="AA161" s="19"/>
      <c r="AB161" s="5"/>
      <c r="AC161" s="5"/>
      <c r="AD161" s="5"/>
      <c r="AE161" s="5"/>
      <c r="AF161" s="30"/>
      <c r="AG161" s="30"/>
      <c r="AH161" s="30"/>
      <c r="AI161" s="30"/>
      <c r="AJ161" s="30"/>
      <c r="AK161" s="30"/>
      <c r="AL161" s="28"/>
      <c r="AM161" s="5"/>
      <c r="AN161" s="19"/>
      <c r="AO161" s="19"/>
      <c r="AP161" s="5"/>
      <c r="AQ161" s="5"/>
      <c r="AR161" s="5"/>
      <c r="AS161" s="5"/>
      <c r="AT161" s="5"/>
      <c r="AU161" s="19"/>
      <c r="AV161" s="19"/>
      <c r="AW161" s="5"/>
      <c r="AX161" s="5"/>
      <c r="AY161" s="19"/>
      <c r="AZ161" s="30"/>
      <c r="BA161" s="5"/>
      <c r="BB161" s="31" t="str">
        <f aca="false">IF(OR($T161="",$M161=""),"",$T161-$M161)</f>
        <v/>
      </c>
      <c r="BC161" s="32" t="str">
        <f aca="false">IF(OR($T161="",$M161="",$M161=0),"",($T161-$M161)/$M161)</f>
        <v/>
      </c>
      <c r="BD161" s="31" t="str">
        <f aca="false">IF(OR($U161="",$M161=""),"",$U161-$M161)</f>
        <v/>
      </c>
      <c r="BE161" s="32" t="str">
        <f aca="false">IF(OR($U161="",$M161="",$M161=0),"",($U161-$M161)/$M161)</f>
        <v/>
      </c>
      <c r="BF161" s="32" t="str">
        <f aca="false">IF(OR($U161="",$J161="",$J161=0),"",($U161-$J161)/$J161)</f>
        <v/>
      </c>
      <c r="BG161" s="32" t="str">
        <f aca="false">IF(OR($M161="",$K161="",$K161=0),"",($M161-$K161)/$K161)</f>
        <v/>
      </c>
      <c r="BH161" s="32" t="str">
        <f aca="false">IF(OR($W161="",$N161="",$N161=0),"",($W161-$N161)/$N161)</f>
        <v/>
      </c>
      <c r="BI161" s="33" t="str">
        <f aca="false">IF(OR($O161="",$X161=""),"",$O161-$X161)</f>
        <v/>
      </c>
      <c r="BJ161" s="33" t="str">
        <f aca="false">IF(OR($P161="",$Y161=""),"",$P161-$Y161)</f>
        <v/>
      </c>
      <c r="BK161" s="34" t="str">
        <f aca="false">IF(OR($AN161="",$AO161="",$AN161=0),"",$AO161/$AN161)</f>
        <v/>
      </c>
      <c r="BL161" s="34" t="str">
        <f aca="false">IF(OR($AU161="",$AV161="",$AU161=0),"",$AV161/$AU161)</f>
        <v/>
      </c>
      <c r="BM161" s="7" t="str">
        <f aca="false">IF($Z161="","",IF(AND($Z161="Y",$AB161&lt;&gt;"N",$AC161&lt;&gt;"Y"),"Y","N"))</f>
        <v/>
      </c>
      <c r="BN161" s="7" t="str">
        <f aca="false">IF($AH161="","",IF($Z161&lt;&gt;"Y","undefined",IF($AH161&lt;=1,"Y","N")))</f>
        <v/>
      </c>
      <c r="BO161" s="7" t="str">
        <f aca="false">IF($AH161="","",IF($Z161&lt;&gt;"Y","undefined",IF($AH161&lt;=10,"Y","N")))</f>
        <v/>
      </c>
      <c r="BP161" s="7" t="str">
        <f aca="false">IF($AH161="","",IF($Z161&lt;&gt;"Y","undefined",IF($AH161&lt;=100,"Y","N")))</f>
        <v/>
      </c>
    </row>
    <row r="162" customFormat="false" ht="15" hidden="false" customHeight="false" outlineLevel="0" collapsed="false">
      <c r="A162" s="7" t="str">
        <f aca="false">IF($B162="","",$B162&amp;"|"&amp;$C162&amp;"|"&amp;$F162)</f>
        <v/>
      </c>
      <c r="B162" s="5"/>
      <c r="C162" s="5"/>
      <c r="D162" s="5"/>
      <c r="E162" s="5"/>
      <c r="F162" s="5"/>
      <c r="G162" s="5"/>
      <c r="H162" s="5"/>
      <c r="I162" s="5"/>
      <c r="J162" s="20"/>
      <c r="K162" s="20"/>
      <c r="L162" s="28"/>
      <c r="M162" s="20"/>
      <c r="N162" s="28"/>
      <c r="O162" s="19"/>
      <c r="P162" s="19"/>
      <c r="Q162" s="5"/>
      <c r="R162" s="19"/>
      <c r="S162" s="5"/>
      <c r="T162" s="20"/>
      <c r="U162" s="20"/>
      <c r="V162" s="29"/>
      <c r="W162" s="28"/>
      <c r="X162" s="19"/>
      <c r="Y162" s="19"/>
      <c r="Z162" s="5"/>
      <c r="AA162" s="19"/>
      <c r="AB162" s="5"/>
      <c r="AC162" s="5"/>
      <c r="AD162" s="5"/>
      <c r="AE162" s="5"/>
      <c r="AF162" s="30"/>
      <c r="AG162" s="30"/>
      <c r="AH162" s="30"/>
      <c r="AI162" s="30"/>
      <c r="AJ162" s="30"/>
      <c r="AK162" s="30"/>
      <c r="AL162" s="28"/>
      <c r="AM162" s="5"/>
      <c r="AN162" s="19"/>
      <c r="AO162" s="19"/>
      <c r="AP162" s="5"/>
      <c r="AQ162" s="5"/>
      <c r="AR162" s="5"/>
      <c r="AS162" s="5"/>
      <c r="AT162" s="5"/>
      <c r="AU162" s="19"/>
      <c r="AV162" s="19"/>
      <c r="AW162" s="5"/>
      <c r="AX162" s="5"/>
      <c r="AY162" s="19"/>
      <c r="AZ162" s="30"/>
      <c r="BA162" s="5"/>
      <c r="BB162" s="31" t="str">
        <f aca="false">IF(OR($T162="",$M162=""),"",$T162-$M162)</f>
        <v/>
      </c>
      <c r="BC162" s="32" t="str">
        <f aca="false">IF(OR($T162="",$M162="",$M162=0),"",($T162-$M162)/$M162)</f>
        <v/>
      </c>
      <c r="BD162" s="31" t="str">
        <f aca="false">IF(OR($U162="",$M162=""),"",$U162-$M162)</f>
        <v/>
      </c>
      <c r="BE162" s="32" t="str">
        <f aca="false">IF(OR($U162="",$M162="",$M162=0),"",($U162-$M162)/$M162)</f>
        <v/>
      </c>
      <c r="BF162" s="32" t="str">
        <f aca="false">IF(OR($U162="",$J162="",$J162=0),"",($U162-$J162)/$J162)</f>
        <v/>
      </c>
      <c r="BG162" s="32" t="str">
        <f aca="false">IF(OR($M162="",$K162="",$K162=0),"",($M162-$K162)/$K162)</f>
        <v/>
      </c>
      <c r="BH162" s="32" t="str">
        <f aca="false">IF(OR($W162="",$N162="",$N162=0),"",($W162-$N162)/$N162)</f>
        <v/>
      </c>
      <c r="BI162" s="33" t="str">
        <f aca="false">IF(OR($O162="",$X162=""),"",$O162-$X162)</f>
        <v/>
      </c>
      <c r="BJ162" s="33" t="str">
        <f aca="false">IF(OR($P162="",$Y162=""),"",$P162-$Y162)</f>
        <v/>
      </c>
      <c r="BK162" s="34" t="str">
        <f aca="false">IF(OR($AN162="",$AO162="",$AN162=0),"",$AO162/$AN162)</f>
        <v/>
      </c>
      <c r="BL162" s="34" t="str">
        <f aca="false">IF(OR($AU162="",$AV162="",$AU162=0),"",$AV162/$AU162)</f>
        <v/>
      </c>
      <c r="BM162" s="7" t="str">
        <f aca="false">IF($Z162="","",IF(AND($Z162="Y",$AB162&lt;&gt;"N",$AC162&lt;&gt;"Y"),"Y","N"))</f>
        <v/>
      </c>
      <c r="BN162" s="7" t="str">
        <f aca="false">IF($AH162="","",IF($Z162&lt;&gt;"Y","undefined",IF($AH162&lt;=1,"Y","N")))</f>
        <v/>
      </c>
      <c r="BO162" s="7" t="str">
        <f aca="false">IF($AH162="","",IF($Z162&lt;&gt;"Y","undefined",IF($AH162&lt;=10,"Y","N")))</f>
        <v/>
      </c>
      <c r="BP162" s="7" t="str">
        <f aca="false">IF($AH162="","",IF($Z162&lt;&gt;"Y","undefined",IF($AH162&lt;=100,"Y","N")))</f>
        <v/>
      </c>
    </row>
    <row r="163" customFormat="false" ht="15" hidden="false" customHeight="false" outlineLevel="0" collapsed="false">
      <c r="A163" s="7" t="str">
        <f aca="false">IF($B163="","",$B163&amp;"|"&amp;$C163&amp;"|"&amp;$F163)</f>
        <v/>
      </c>
      <c r="B163" s="5"/>
      <c r="C163" s="5"/>
      <c r="D163" s="5"/>
      <c r="E163" s="5"/>
      <c r="F163" s="5"/>
      <c r="G163" s="5"/>
      <c r="H163" s="5"/>
      <c r="I163" s="5"/>
      <c r="J163" s="20"/>
      <c r="K163" s="20"/>
      <c r="L163" s="28"/>
      <c r="M163" s="20"/>
      <c r="N163" s="28"/>
      <c r="O163" s="19"/>
      <c r="P163" s="19"/>
      <c r="Q163" s="5"/>
      <c r="R163" s="19"/>
      <c r="S163" s="5"/>
      <c r="T163" s="20"/>
      <c r="U163" s="20"/>
      <c r="V163" s="29"/>
      <c r="W163" s="28"/>
      <c r="X163" s="19"/>
      <c r="Y163" s="19"/>
      <c r="Z163" s="5"/>
      <c r="AA163" s="19"/>
      <c r="AB163" s="5"/>
      <c r="AC163" s="5"/>
      <c r="AD163" s="5"/>
      <c r="AE163" s="5"/>
      <c r="AF163" s="30"/>
      <c r="AG163" s="30"/>
      <c r="AH163" s="30"/>
      <c r="AI163" s="30"/>
      <c r="AJ163" s="30"/>
      <c r="AK163" s="30"/>
      <c r="AL163" s="28"/>
      <c r="AM163" s="5"/>
      <c r="AN163" s="19"/>
      <c r="AO163" s="19"/>
      <c r="AP163" s="5"/>
      <c r="AQ163" s="5"/>
      <c r="AR163" s="5"/>
      <c r="AS163" s="5"/>
      <c r="AT163" s="5"/>
      <c r="AU163" s="19"/>
      <c r="AV163" s="19"/>
      <c r="AW163" s="5"/>
      <c r="AX163" s="5"/>
      <c r="AY163" s="19"/>
      <c r="AZ163" s="30"/>
      <c r="BA163" s="5"/>
      <c r="BB163" s="31" t="str">
        <f aca="false">IF(OR($T163="",$M163=""),"",$T163-$M163)</f>
        <v/>
      </c>
      <c r="BC163" s="32" t="str">
        <f aca="false">IF(OR($T163="",$M163="",$M163=0),"",($T163-$M163)/$M163)</f>
        <v/>
      </c>
      <c r="BD163" s="31" t="str">
        <f aca="false">IF(OR($U163="",$M163=""),"",$U163-$M163)</f>
        <v/>
      </c>
      <c r="BE163" s="32" t="str">
        <f aca="false">IF(OR($U163="",$M163="",$M163=0),"",($U163-$M163)/$M163)</f>
        <v/>
      </c>
      <c r="BF163" s="32" t="str">
        <f aca="false">IF(OR($U163="",$J163="",$J163=0),"",($U163-$J163)/$J163)</f>
        <v/>
      </c>
      <c r="BG163" s="32" t="str">
        <f aca="false">IF(OR($M163="",$K163="",$K163=0),"",($M163-$K163)/$K163)</f>
        <v/>
      </c>
      <c r="BH163" s="32" t="str">
        <f aca="false">IF(OR($W163="",$N163="",$N163=0),"",($W163-$N163)/$N163)</f>
        <v/>
      </c>
      <c r="BI163" s="33" t="str">
        <f aca="false">IF(OR($O163="",$X163=""),"",$O163-$X163)</f>
        <v/>
      </c>
      <c r="BJ163" s="33" t="str">
        <f aca="false">IF(OR($P163="",$Y163=""),"",$P163-$Y163)</f>
        <v/>
      </c>
      <c r="BK163" s="34" t="str">
        <f aca="false">IF(OR($AN163="",$AO163="",$AN163=0),"",$AO163/$AN163)</f>
        <v/>
      </c>
      <c r="BL163" s="34" t="str">
        <f aca="false">IF(OR($AU163="",$AV163="",$AU163=0),"",$AV163/$AU163)</f>
        <v/>
      </c>
      <c r="BM163" s="7" t="str">
        <f aca="false">IF($Z163="","",IF(AND($Z163="Y",$AB163&lt;&gt;"N",$AC163&lt;&gt;"Y"),"Y","N"))</f>
        <v/>
      </c>
      <c r="BN163" s="7" t="str">
        <f aca="false">IF($AH163="","",IF($Z163&lt;&gt;"Y","undefined",IF($AH163&lt;=1,"Y","N")))</f>
        <v/>
      </c>
      <c r="BO163" s="7" t="str">
        <f aca="false">IF($AH163="","",IF($Z163&lt;&gt;"Y","undefined",IF($AH163&lt;=10,"Y","N")))</f>
        <v/>
      </c>
      <c r="BP163" s="7" t="str">
        <f aca="false">IF($AH163="","",IF($Z163&lt;&gt;"Y","undefined",IF($AH163&lt;=100,"Y","N")))</f>
        <v/>
      </c>
    </row>
    <row r="164" customFormat="false" ht="15" hidden="false" customHeight="false" outlineLevel="0" collapsed="false">
      <c r="A164" s="7" t="str">
        <f aca="false">IF($B164="","",$B164&amp;"|"&amp;$C164&amp;"|"&amp;$F164)</f>
        <v/>
      </c>
      <c r="B164" s="5"/>
      <c r="C164" s="5"/>
      <c r="D164" s="5"/>
      <c r="E164" s="5"/>
      <c r="F164" s="5"/>
      <c r="G164" s="5"/>
      <c r="H164" s="5"/>
      <c r="I164" s="5"/>
      <c r="J164" s="20"/>
      <c r="K164" s="20"/>
      <c r="L164" s="28"/>
      <c r="M164" s="20"/>
      <c r="N164" s="28"/>
      <c r="O164" s="19"/>
      <c r="P164" s="19"/>
      <c r="Q164" s="5"/>
      <c r="R164" s="19"/>
      <c r="S164" s="5"/>
      <c r="T164" s="20"/>
      <c r="U164" s="20"/>
      <c r="V164" s="29"/>
      <c r="W164" s="28"/>
      <c r="X164" s="19"/>
      <c r="Y164" s="19"/>
      <c r="Z164" s="5"/>
      <c r="AA164" s="19"/>
      <c r="AB164" s="5"/>
      <c r="AC164" s="5"/>
      <c r="AD164" s="5"/>
      <c r="AE164" s="5"/>
      <c r="AF164" s="30"/>
      <c r="AG164" s="30"/>
      <c r="AH164" s="30"/>
      <c r="AI164" s="30"/>
      <c r="AJ164" s="30"/>
      <c r="AK164" s="30"/>
      <c r="AL164" s="28"/>
      <c r="AM164" s="5"/>
      <c r="AN164" s="19"/>
      <c r="AO164" s="19"/>
      <c r="AP164" s="5"/>
      <c r="AQ164" s="5"/>
      <c r="AR164" s="5"/>
      <c r="AS164" s="5"/>
      <c r="AT164" s="5"/>
      <c r="AU164" s="19"/>
      <c r="AV164" s="19"/>
      <c r="AW164" s="5"/>
      <c r="AX164" s="5"/>
      <c r="AY164" s="19"/>
      <c r="AZ164" s="30"/>
      <c r="BA164" s="5"/>
      <c r="BB164" s="31" t="str">
        <f aca="false">IF(OR($T164="",$M164=""),"",$T164-$M164)</f>
        <v/>
      </c>
      <c r="BC164" s="32" t="str">
        <f aca="false">IF(OR($T164="",$M164="",$M164=0),"",($T164-$M164)/$M164)</f>
        <v/>
      </c>
      <c r="BD164" s="31" t="str">
        <f aca="false">IF(OR($U164="",$M164=""),"",$U164-$M164)</f>
        <v/>
      </c>
      <c r="BE164" s="32" t="str">
        <f aca="false">IF(OR($U164="",$M164="",$M164=0),"",($U164-$M164)/$M164)</f>
        <v/>
      </c>
      <c r="BF164" s="32" t="str">
        <f aca="false">IF(OR($U164="",$J164="",$J164=0),"",($U164-$J164)/$J164)</f>
        <v/>
      </c>
      <c r="BG164" s="32" t="str">
        <f aca="false">IF(OR($M164="",$K164="",$K164=0),"",($M164-$K164)/$K164)</f>
        <v/>
      </c>
      <c r="BH164" s="32" t="str">
        <f aca="false">IF(OR($W164="",$N164="",$N164=0),"",($W164-$N164)/$N164)</f>
        <v/>
      </c>
      <c r="BI164" s="33" t="str">
        <f aca="false">IF(OR($O164="",$X164=""),"",$O164-$X164)</f>
        <v/>
      </c>
      <c r="BJ164" s="33" t="str">
        <f aca="false">IF(OR($P164="",$Y164=""),"",$P164-$Y164)</f>
        <v/>
      </c>
      <c r="BK164" s="34" t="str">
        <f aca="false">IF(OR($AN164="",$AO164="",$AN164=0),"",$AO164/$AN164)</f>
        <v/>
      </c>
      <c r="BL164" s="34" t="str">
        <f aca="false">IF(OR($AU164="",$AV164="",$AU164=0),"",$AV164/$AU164)</f>
        <v/>
      </c>
      <c r="BM164" s="7" t="str">
        <f aca="false">IF($Z164="","",IF(AND($Z164="Y",$AB164&lt;&gt;"N",$AC164&lt;&gt;"Y"),"Y","N"))</f>
        <v/>
      </c>
      <c r="BN164" s="7" t="str">
        <f aca="false">IF($AH164="","",IF($Z164&lt;&gt;"Y","undefined",IF($AH164&lt;=1,"Y","N")))</f>
        <v/>
      </c>
      <c r="BO164" s="7" t="str">
        <f aca="false">IF($AH164="","",IF($Z164&lt;&gt;"Y","undefined",IF($AH164&lt;=10,"Y","N")))</f>
        <v/>
      </c>
      <c r="BP164" s="7" t="str">
        <f aca="false">IF($AH164="","",IF($Z164&lt;&gt;"Y","undefined",IF($AH164&lt;=100,"Y","N")))</f>
        <v/>
      </c>
    </row>
    <row r="165" customFormat="false" ht="15" hidden="false" customHeight="false" outlineLevel="0" collapsed="false">
      <c r="A165" s="7" t="str">
        <f aca="false">IF($B165="","",$B165&amp;"|"&amp;$C165&amp;"|"&amp;$F165)</f>
        <v/>
      </c>
      <c r="B165" s="5"/>
      <c r="C165" s="5"/>
      <c r="D165" s="5"/>
      <c r="E165" s="5"/>
      <c r="F165" s="5"/>
      <c r="G165" s="5"/>
      <c r="H165" s="5"/>
      <c r="I165" s="5"/>
      <c r="J165" s="20"/>
      <c r="K165" s="20"/>
      <c r="L165" s="28"/>
      <c r="M165" s="20"/>
      <c r="N165" s="28"/>
      <c r="O165" s="19"/>
      <c r="P165" s="19"/>
      <c r="Q165" s="5"/>
      <c r="R165" s="19"/>
      <c r="S165" s="5"/>
      <c r="T165" s="20"/>
      <c r="U165" s="20"/>
      <c r="V165" s="29"/>
      <c r="W165" s="28"/>
      <c r="X165" s="19"/>
      <c r="Y165" s="19"/>
      <c r="Z165" s="5"/>
      <c r="AA165" s="19"/>
      <c r="AB165" s="5"/>
      <c r="AC165" s="5"/>
      <c r="AD165" s="5"/>
      <c r="AE165" s="5"/>
      <c r="AF165" s="30"/>
      <c r="AG165" s="30"/>
      <c r="AH165" s="30"/>
      <c r="AI165" s="30"/>
      <c r="AJ165" s="30"/>
      <c r="AK165" s="30"/>
      <c r="AL165" s="28"/>
      <c r="AM165" s="5"/>
      <c r="AN165" s="19"/>
      <c r="AO165" s="19"/>
      <c r="AP165" s="5"/>
      <c r="AQ165" s="5"/>
      <c r="AR165" s="5"/>
      <c r="AS165" s="5"/>
      <c r="AT165" s="5"/>
      <c r="AU165" s="19"/>
      <c r="AV165" s="19"/>
      <c r="AW165" s="5"/>
      <c r="AX165" s="5"/>
      <c r="AY165" s="19"/>
      <c r="AZ165" s="30"/>
      <c r="BA165" s="5"/>
      <c r="BB165" s="31" t="str">
        <f aca="false">IF(OR($T165="",$M165=""),"",$T165-$M165)</f>
        <v/>
      </c>
      <c r="BC165" s="32" t="str">
        <f aca="false">IF(OR($T165="",$M165="",$M165=0),"",($T165-$M165)/$M165)</f>
        <v/>
      </c>
      <c r="BD165" s="31" t="str">
        <f aca="false">IF(OR($U165="",$M165=""),"",$U165-$M165)</f>
        <v/>
      </c>
      <c r="BE165" s="32" t="str">
        <f aca="false">IF(OR($U165="",$M165="",$M165=0),"",($U165-$M165)/$M165)</f>
        <v/>
      </c>
      <c r="BF165" s="32" t="str">
        <f aca="false">IF(OR($U165="",$J165="",$J165=0),"",($U165-$J165)/$J165)</f>
        <v/>
      </c>
      <c r="BG165" s="32" t="str">
        <f aca="false">IF(OR($M165="",$K165="",$K165=0),"",($M165-$K165)/$K165)</f>
        <v/>
      </c>
      <c r="BH165" s="32" t="str">
        <f aca="false">IF(OR($W165="",$N165="",$N165=0),"",($W165-$N165)/$N165)</f>
        <v/>
      </c>
      <c r="BI165" s="33" t="str">
        <f aca="false">IF(OR($O165="",$X165=""),"",$O165-$X165)</f>
        <v/>
      </c>
      <c r="BJ165" s="33" t="str">
        <f aca="false">IF(OR($P165="",$Y165=""),"",$P165-$Y165)</f>
        <v/>
      </c>
      <c r="BK165" s="34" t="str">
        <f aca="false">IF(OR($AN165="",$AO165="",$AN165=0),"",$AO165/$AN165)</f>
        <v/>
      </c>
      <c r="BL165" s="34" t="str">
        <f aca="false">IF(OR($AU165="",$AV165="",$AU165=0),"",$AV165/$AU165)</f>
        <v/>
      </c>
      <c r="BM165" s="7" t="str">
        <f aca="false">IF($Z165="","",IF(AND($Z165="Y",$AB165&lt;&gt;"N",$AC165&lt;&gt;"Y"),"Y","N"))</f>
        <v/>
      </c>
      <c r="BN165" s="7" t="str">
        <f aca="false">IF($AH165="","",IF($Z165&lt;&gt;"Y","undefined",IF($AH165&lt;=1,"Y","N")))</f>
        <v/>
      </c>
      <c r="BO165" s="7" t="str">
        <f aca="false">IF($AH165="","",IF($Z165&lt;&gt;"Y","undefined",IF($AH165&lt;=10,"Y","N")))</f>
        <v/>
      </c>
      <c r="BP165" s="7" t="str">
        <f aca="false">IF($AH165="","",IF($Z165&lt;&gt;"Y","undefined",IF($AH165&lt;=100,"Y","N")))</f>
        <v/>
      </c>
    </row>
    <row r="166" customFormat="false" ht="15" hidden="false" customHeight="false" outlineLevel="0" collapsed="false">
      <c r="A166" s="7" t="str">
        <f aca="false">IF($B166="","",$B166&amp;"|"&amp;$C166&amp;"|"&amp;$F166)</f>
        <v/>
      </c>
      <c r="B166" s="5"/>
      <c r="C166" s="5"/>
      <c r="D166" s="5"/>
      <c r="E166" s="5"/>
      <c r="F166" s="5"/>
      <c r="G166" s="5"/>
      <c r="H166" s="5"/>
      <c r="I166" s="5"/>
      <c r="J166" s="20"/>
      <c r="K166" s="20"/>
      <c r="L166" s="28"/>
      <c r="M166" s="20"/>
      <c r="N166" s="28"/>
      <c r="O166" s="19"/>
      <c r="P166" s="19"/>
      <c r="Q166" s="5"/>
      <c r="R166" s="19"/>
      <c r="S166" s="5"/>
      <c r="T166" s="20"/>
      <c r="U166" s="20"/>
      <c r="V166" s="29"/>
      <c r="W166" s="28"/>
      <c r="X166" s="19"/>
      <c r="Y166" s="19"/>
      <c r="Z166" s="5"/>
      <c r="AA166" s="19"/>
      <c r="AB166" s="5"/>
      <c r="AC166" s="5"/>
      <c r="AD166" s="5"/>
      <c r="AE166" s="5"/>
      <c r="AF166" s="30"/>
      <c r="AG166" s="30"/>
      <c r="AH166" s="30"/>
      <c r="AI166" s="30"/>
      <c r="AJ166" s="30"/>
      <c r="AK166" s="30"/>
      <c r="AL166" s="28"/>
      <c r="AM166" s="5"/>
      <c r="AN166" s="19"/>
      <c r="AO166" s="19"/>
      <c r="AP166" s="5"/>
      <c r="AQ166" s="5"/>
      <c r="AR166" s="5"/>
      <c r="AS166" s="5"/>
      <c r="AT166" s="5"/>
      <c r="AU166" s="19"/>
      <c r="AV166" s="19"/>
      <c r="AW166" s="5"/>
      <c r="AX166" s="5"/>
      <c r="AY166" s="19"/>
      <c r="AZ166" s="30"/>
      <c r="BA166" s="5"/>
      <c r="BB166" s="31" t="str">
        <f aca="false">IF(OR($T166="",$M166=""),"",$T166-$M166)</f>
        <v/>
      </c>
      <c r="BC166" s="32" t="str">
        <f aca="false">IF(OR($T166="",$M166="",$M166=0),"",($T166-$M166)/$M166)</f>
        <v/>
      </c>
      <c r="BD166" s="31" t="str">
        <f aca="false">IF(OR($U166="",$M166=""),"",$U166-$M166)</f>
        <v/>
      </c>
      <c r="BE166" s="32" t="str">
        <f aca="false">IF(OR($U166="",$M166="",$M166=0),"",($U166-$M166)/$M166)</f>
        <v/>
      </c>
      <c r="BF166" s="32" t="str">
        <f aca="false">IF(OR($U166="",$J166="",$J166=0),"",($U166-$J166)/$J166)</f>
        <v/>
      </c>
      <c r="BG166" s="32" t="str">
        <f aca="false">IF(OR($M166="",$K166="",$K166=0),"",($M166-$K166)/$K166)</f>
        <v/>
      </c>
      <c r="BH166" s="32" t="str">
        <f aca="false">IF(OR($W166="",$N166="",$N166=0),"",($W166-$N166)/$N166)</f>
        <v/>
      </c>
      <c r="BI166" s="33" t="str">
        <f aca="false">IF(OR($O166="",$X166=""),"",$O166-$X166)</f>
        <v/>
      </c>
      <c r="BJ166" s="33" t="str">
        <f aca="false">IF(OR($P166="",$Y166=""),"",$P166-$Y166)</f>
        <v/>
      </c>
      <c r="BK166" s="34" t="str">
        <f aca="false">IF(OR($AN166="",$AO166="",$AN166=0),"",$AO166/$AN166)</f>
        <v/>
      </c>
      <c r="BL166" s="34" t="str">
        <f aca="false">IF(OR($AU166="",$AV166="",$AU166=0),"",$AV166/$AU166)</f>
        <v/>
      </c>
      <c r="BM166" s="7" t="str">
        <f aca="false">IF($Z166="","",IF(AND($Z166="Y",$AB166&lt;&gt;"N",$AC166&lt;&gt;"Y"),"Y","N"))</f>
        <v/>
      </c>
      <c r="BN166" s="7" t="str">
        <f aca="false">IF($AH166="","",IF($Z166&lt;&gt;"Y","undefined",IF($AH166&lt;=1,"Y","N")))</f>
        <v/>
      </c>
      <c r="BO166" s="7" t="str">
        <f aca="false">IF($AH166="","",IF($Z166&lt;&gt;"Y","undefined",IF($AH166&lt;=10,"Y","N")))</f>
        <v/>
      </c>
      <c r="BP166" s="7" t="str">
        <f aca="false">IF($AH166="","",IF($Z166&lt;&gt;"Y","undefined",IF($AH166&lt;=100,"Y","N")))</f>
        <v/>
      </c>
    </row>
    <row r="167" customFormat="false" ht="15" hidden="false" customHeight="false" outlineLevel="0" collapsed="false">
      <c r="A167" s="7" t="str">
        <f aca="false">IF($B167="","",$B167&amp;"|"&amp;$C167&amp;"|"&amp;$F167)</f>
        <v/>
      </c>
      <c r="B167" s="5"/>
      <c r="C167" s="5"/>
      <c r="D167" s="5"/>
      <c r="E167" s="5"/>
      <c r="F167" s="5"/>
      <c r="G167" s="5"/>
      <c r="H167" s="5"/>
      <c r="I167" s="5"/>
      <c r="J167" s="20"/>
      <c r="K167" s="20"/>
      <c r="L167" s="28"/>
      <c r="M167" s="20"/>
      <c r="N167" s="28"/>
      <c r="O167" s="19"/>
      <c r="P167" s="19"/>
      <c r="Q167" s="5"/>
      <c r="R167" s="19"/>
      <c r="S167" s="5"/>
      <c r="T167" s="20"/>
      <c r="U167" s="20"/>
      <c r="V167" s="29"/>
      <c r="W167" s="28"/>
      <c r="X167" s="19"/>
      <c r="Y167" s="19"/>
      <c r="Z167" s="5"/>
      <c r="AA167" s="19"/>
      <c r="AB167" s="5"/>
      <c r="AC167" s="5"/>
      <c r="AD167" s="5"/>
      <c r="AE167" s="5"/>
      <c r="AF167" s="30"/>
      <c r="AG167" s="30"/>
      <c r="AH167" s="30"/>
      <c r="AI167" s="30"/>
      <c r="AJ167" s="30"/>
      <c r="AK167" s="30"/>
      <c r="AL167" s="28"/>
      <c r="AM167" s="5"/>
      <c r="AN167" s="19"/>
      <c r="AO167" s="19"/>
      <c r="AP167" s="5"/>
      <c r="AQ167" s="5"/>
      <c r="AR167" s="5"/>
      <c r="AS167" s="5"/>
      <c r="AT167" s="5"/>
      <c r="AU167" s="19"/>
      <c r="AV167" s="19"/>
      <c r="AW167" s="5"/>
      <c r="AX167" s="5"/>
      <c r="AY167" s="19"/>
      <c r="AZ167" s="30"/>
      <c r="BA167" s="5"/>
      <c r="BB167" s="31" t="str">
        <f aca="false">IF(OR($T167="",$M167=""),"",$T167-$M167)</f>
        <v/>
      </c>
      <c r="BC167" s="32" t="str">
        <f aca="false">IF(OR($T167="",$M167="",$M167=0),"",($T167-$M167)/$M167)</f>
        <v/>
      </c>
      <c r="BD167" s="31" t="str">
        <f aca="false">IF(OR($U167="",$M167=""),"",$U167-$M167)</f>
        <v/>
      </c>
      <c r="BE167" s="32" t="str">
        <f aca="false">IF(OR($U167="",$M167="",$M167=0),"",($U167-$M167)/$M167)</f>
        <v/>
      </c>
      <c r="BF167" s="32" t="str">
        <f aca="false">IF(OR($U167="",$J167="",$J167=0),"",($U167-$J167)/$J167)</f>
        <v/>
      </c>
      <c r="BG167" s="32" t="str">
        <f aca="false">IF(OR($M167="",$K167="",$K167=0),"",($M167-$K167)/$K167)</f>
        <v/>
      </c>
      <c r="BH167" s="32" t="str">
        <f aca="false">IF(OR($W167="",$N167="",$N167=0),"",($W167-$N167)/$N167)</f>
        <v/>
      </c>
      <c r="BI167" s="33" t="str">
        <f aca="false">IF(OR($O167="",$X167=""),"",$O167-$X167)</f>
        <v/>
      </c>
      <c r="BJ167" s="33" t="str">
        <f aca="false">IF(OR($P167="",$Y167=""),"",$P167-$Y167)</f>
        <v/>
      </c>
      <c r="BK167" s="34" t="str">
        <f aca="false">IF(OR($AN167="",$AO167="",$AN167=0),"",$AO167/$AN167)</f>
        <v/>
      </c>
      <c r="BL167" s="34" t="str">
        <f aca="false">IF(OR($AU167="",$AV167="",$AU167=0),"",$AV167/$AU167)</f>
        <v/>
      </c>
      <c r="BM167" s="7" t="str">
        <f aca="false">IF($Z167="","",IF(AND($Z167="Y",$AB167&lt;&gt;"N",$AC167&lt;&gt;"Y"),"Y","N"))</f>
        <v/>
      </c>
      <c r="BN167" s="7" t="str">
        <f aca="false">IF($AH167="","",IF($Z167&lt;&gt;"Y","undefined",IF($AH167&lt;=1,"Y","N")))</f>
        <v/>
      </c>
      <c r="BO167" s="7" t="str">
        <f aca="false">IF($AH167="","",IF($Z167&lt;&gt;"Y","undefined",IF($AH167&lt;=10,"Y","N")))</f>
        <v/>
      </c>
      <c r="BP167" s="7" t="str">
        <f aca="false">IF($AH167="","",IF($Z167&lt;&gt;"Y","undefined",IF($AH167&lt;=100,"Y","N")))</f>
        <v/>
      </c>
    </row>
    <row r="168" customFormat="false" ht="15" hidden="false" customHeight="false" outlineLevel="0" collapsed="false">
      <c r="A168" s="7" t="str">
        <f aca="false">IF($B168="","",$B168&amp;"|"&amp;$C168&amp;"|"&amp;$F168)</f>
        <v/>
      </c>
      <c r="B168" s="5"/>
      <c r="C168" s="5"/>
      <c r="D168" s="5"/>
      <c r="E168" s="5"/>
      <c r="F168" s="5"/>
      <c r="G168" s="5"/>
      <c r="H168" s="5"/>
      <c r="I168" s="5"/>
      <c r="J168" s="20"/>
      <c r="K168" s="20"/>
      <c r="L168" s="28"/>
      <c r="M168" s="20"/>
      <c r="N168" s="28"/>
      <c r="O168" s="19"/>
      <c r="P168" s="19"/>
      <c r="Q168" s="5"/>
      <c r="R168" s="19"/>
      <c r="S168" s="5"/>
      <c r="T168" s="20"/>
      <c r="U168" s="20"/>
      <c r="V168" s="29"/>
      <c r="W168" s="28"/>
      <c r="X168" s="19"/>
      <c r="Y168" s="19"/>
      <c r="Z168" s="5"/>
      <c r="AA168" s="19"/>
      <c r="AB168" s="5"/>
      <c r="AC168" s="5"/>
      <c r="AD168" s="5"/>
      <c r="AE168" s="5"/>
      <c r="AF168" s="30"/>
      <c r="AG168" s="30"/>
      <c r="AH168" s="30"/>
      <c r="AI168" s="30"/>
      <c r="AJ168" s="30"/>
      <c r="AK168" s="30"/>
      <c r="AL168" s="28"/>
      <c r="AM168" s="5"/>
      <c r="AN168" s="19"/>
      <c r="AO168" s="19"/>
      <c r="AP168" s="5"/>
      <c r="AQ168" s="5"/>
      <c r="AR168" s="5"/>
      <c r="AS168" s="5"/>
      <c r="AT168" s="5"/>
      <c r="AU168" s="19"/>
      <c r="AV168" s="19"/>
      <c r="AW168" s="5"/>
      <c r="AX168" s="5"/>
      <c r="AY168" s="19"/>
      <c r="AZ168" s="30"/>
      <c r="BA168" s="5"/>
      <c r="BB168" s="31" t="str">
        <f aca="false">IF(OR($T168="",$M168=""),"",$T168-$M168)</f>
        <v/>
      </c>
      <c r="BC168" s="32" t="str">
        <f aca="false">IF(OR($T168="",$M168="",$M168=0),"",($T168-$M168)/$M168)</f>
        <v/>
      </c>
      <c r="BD168" s="31" t="str">
        <f aca="false">IF(OR($U168="",$M168=""),"",$U168-$M168)</f>
        <v/>
      </c>
      <c r="BE168" s="32" t="str">
        <f aca="false">IF(OR($U168="",$M168="",$M168=0),"",($U168-$M168)/$M168)</f>
        <v/>
      </c>
      <c r="BF168" s="32" t="str">
        <f aca="false">IF(OR($U168="",$J168="",$J168=0),"",($U168-$J168)/$J168)</f>
        <v/>
      </c>
      <c r="BG168" s="32" t="str">
        <f aca="false">IF(OR($M168="",$K168="",$K168=0),"",($M168-$K168)/$K168)</f>
        <v/>
      </c>
      <c r="BH168" s="32" t="str">
        <f aca="false">IF(OR($W168="",$N168="",$N168=0),"",($W168-$N168)/$N168)</f>
        <v/>
      </c>
      <c r="BI168" s="33" t="str">
        <f aca="false">IF(OR($O168="",$X168=""),"",$O168-$X168)</f>
        <v/>
      </c>
      <c r="BJ168" s="33" t="str">
        <f aca="false">IF(OR($P168="",$Y168=""),"",$P168-$Y168)</f>
        <v/>
      </c>
      <c r="BK168" s="34" t="str">
        <f aca="false">IF(OR($AN168="",$AO168="",$AN168=0),"",$AO168/$AN168)</f>
        <v/>
      </c>
      <c r="BL168" s="34" t="str">
        <f aca="false">IF(OR($AU168="",$AV168="",$AU168=0),"",$AV168/$AU168)</f>
        <v/>
      </c>
      <c r="BM168" s="7" t="str">
        <f aca="false">IF($Z168="","",IF(AND($Z168="Y",$AB168&lt;&gt;"N",$AC168&lt;&gt;"Y"),"Y","N"))</f>
        <v/>
      </c>
      <c r="BN168" s="7" t="str">
        <f aca="false">IF($AH168="","",IF($Z168&lt;&gt;"Y","undefined",IF($AH168&lt;=1,"Y","N")))</f>
        <v/>
      </c>
      <c r="BO168" s="7" t="str">
        <f aca="false">IF($AH168="","",IF($Z168&lt;&gt;"Y","undefined",IF($AH168&lt;=10,"Y","N")))</f>
        <v/>
      </c>
      <c r="BP168" s="7" t="str">
        <f aca="false">IF($AH168="","",IF($Z168&lt;&gt;"Y","undefined",IF($AH168&lt;=100,"Y","N")))</f>
        <v/>
      </c>
    </row>
    <row r="169" customFormat="false" ht="15" hidden="false" customHeight="false" outlineLevel="0" collapsed="false">
      <c r="A169" s="7" t="str">
        <f aca="false">IF($B169="","",$B169&amp;"|"&amp;$C169&amp;"|"&amp;$F169)</f>
        <v/>
      </c>
      <c r="B169" s="5"/>
      <c r="C169" s="5"/>
      <c r="D169" s="5"/>
      <c r="E169" s="5"/>
      <c r="F169" s="5"/>
      <c r="G169" s="5"/>
      <c r="H169" s="5"/>
      <c r="I169" s="5"/>
      <c r="J169" s="20"/>
      <c r="K169" s="20"/>
      <c r="L169" s="28"/>
      <c r="M169" s="20"/>
      <c r="N169" s="28"/>
      <c r="O169" s="19"/>
      <c r="P169" s="19"/>
      <c r="Q169" s="5"/>
      <c r="R169" s="19"/>
      <c r="S169" s="5"/>
      <c r="T169" s="20"/>
      <c r="U169" s="20"/>
      <c r="V169" s="29"/>
      <c r="W169" s="28"/>
      <c r="X169" s="19"/>
      <c r="Y169" s="19"/>
      <c r="Z169" s="5"/>
      <c r="AA169" s="19"/>
      <c r="AB169" s="5"/>
      <c r="AC169" s="5"/>
      <c r="AD169" s="5"/>
      <c r="AE169" s="5"/>
      <c r="AF169" s="30"/>
      <c r="AG169" s="30"/>
      <c r="AH169" s="30"/>
      <c r="AI169" s="30"/>
      <c r="AJ169" s="30"/>
      <c r="AK169" s="30"/>
      <c r="AL169" s="28"/>
      <c r="AM169" s="5"/>
      <c r="AN169" s="19"/>
      <c r="AO169" s="19"/>
      <c r="AP169" s="5"/>
      <c r="AQ169" s="5"/>
      <c r="AR169" s="5"/>
      <c r="AS169" s="5"/>
      <c r="AT169" s="5"/>
      <c r="AU169" s="19"/>
      <c r="AV169" s="19"/>
      <c r="AW169" s="5"/>
      <c r="AX169" s="5"/>
      <c r="AY169" s="19"/>
      <c r="AZ169" s="30"/>
      <c r="BA169" s="5"/>
      <c r="BB169" s="31" t="str">
        <f aca="false">IF(OR($T169="",$M169=""),"",$T169-$M169)</f>
        <v/>
      </c>
      <c r="BC169" s="32" t="str">
        <f aca="false">IF(OR($T169="",$M169="",$M169=0),"",($T169-$M169)/$M169)</f>
        <v/>
      </c>
      <c r="BD169" s="31" t="str">
        <f aca="false">IF(OR($U169="",$M169=""),"",$U169-$M169)</f>
        <v/>
      </c>
      <c r="BE169" s="32" t="str">
        <f aca="false">IF(OR($U169="",$M169="",$M169=0),"",($U169-$M169)/$M169)</f>
        <v/>
      </c>
      <c r="BF169" s="32" t="str">
        <f aca="false">IF(OR($U169="",$J169="",$J169=0),"",($U169-$J169)/$J169)</f>
        <v/>
      </c>
      <c r="BG169" s="32" t="str">
        <f aca="false">IF(OR($M169="",$K169="",$K169=0),"",($M169-$K169)/$K169)</f>
        <v/>
      </c>
      <c r="BH169" s="32" t="str">
        <f aca="false">IF(OR($W169="",$N169="",$N169=0),"",($W169-$N169)/$N169)</f>
        <v/>
      </c>
      <c r="BI169" s="33" t="str">
        <f aca="false">IF(OR($O169="",$X169=""),"",$O169-$X169)</f>
        <v/>
      </c>
      <c r="BJ169" s="33" t="str">
        <f aca="false">IF(OR($P169="",$Y169=""),"",$P169-$Y169)</f>
        <v/>
      </c>
      <c r="BK169" s="34" t="str">
        <f aca="false">IF(OR($AN169="",$AO169="",$AN169=0),"",$AO169/$AN169)</f>
        <v/>
      </c>
      <c r="BL169" s="34" t="str">
        <f aca="false">IF(OR($AU169="",$AV169="",$AU169=0),"",$AV169/$AU169)</f>
        <v/>
      </c>
      <c r="BM169" s="7" t="str">
        <f aca="false">IF($Z169="","",IF(AND($Z169="Y",$AB169&lt;&gt;"N",$AC169&lt;&gt;"Y"),"Y","N"))</f>
        <v/>
      </c>
      <c r="BN169" s="7" t="str">
        <f aca="false">IF($AH169="","",IF($Z169&lt;&gt;"Y","undefined",IF($AH169&lt;=1,"Y","N")))</f>
        <v/>
      </c>
      <c r="BO169" s="7" t="str">
        <f aca="false">IF($AH169="","",IF($Z169&lt;&gt;"Y","undefined",IF($AH169&lt;=10,"Y","N")))</f>
        <v/>
      </c>
      <c r="BP169" s="7" t="str">
        <f aca="false">IF($AH169="","",IF($Z169&lt;&gt;"Y","undefined",IF($AH169&lt;=100,"Y","N")))</f>
        <v/>
      </c>
    </row>
    <row r="170" customFormat="false" ht="15" hidden="false" customHeight="false" outlineLevel="0" collapsed="false">
      <c r="A170" s="7" t="str">
        <f aca="false">IF($B170="","",$B170&amp;"|"&amp;$C170&amp;"|"&amp;$F170)</f>
        <v/>
      </c>
      <c r="B170" s="5"/>
      <c r="C170" s="5"/>
      <c r="D170" s="5"/>
      <c r="E170" s="5"/>
      <c r="F170" s="5"/>
      <c r="G170" s="5"/>
      <c r="H170" s="5"/>
      <c r="I170" s="5"/>
      <c r="J170" s="20"/>
      <c r="K170" s="20"/>
      <c r="L170" s="28"/>
      <c r="M170" s="20"/>
      <c r="N170" s="28"/>
      <c r="O170" s="19"/>
      <c r="P170" s="19"/>
      <c r="Q170" s="5"/>
      <c r="R170" s="19"/>
      <c r="S170" s="5"/>
      <c r="T170" s="20"/>
      <c r="U170" s="20"/>
      <c r="V170" s="29"/>
      <c r="W170" s="28"/>
      <c r="X170" s="19"/>
      <c r="Y170" s="19"/>
      <c r="Z170" s="5"/>
      <c r="AA170" s="19"/>
      <c r="AB170" s="5"/>
      <c r="AC170" s="5"/>
      <c r="AD170" s="5"/>
      <c r="AE170" s="5"/>
      <c r="AF170" s="30"/>
      <c r="AG170" s="30"/>
      <c r="AH170" s="30"/>
      <c r="AI170" s="30"/>
      <c r="AJ170" s="30"/>
      <c r="AK170" s="30"/>
      <c r="AL170" s="28"/>
      <c r="AM170" s="5"/>
      <c r="AN170" s="19"/>
      <c r="AO170" s="19"/>
      <c r="AP170" s="5"/>
      <c r="AQ170" s="5"/>
      <c r="AR170" s="5"/>
      <c r="AS170" s="5"/>
      <c r="AT170" s="5"/>
      <c r="AU170" s="19"/>
      <c r="AV170" s="19"/>
      <c r="AW170" s="5"/>
      <c r="AX170" s="5"/>
      <c r="AY170" s="19"/>
      <c r="AZ170" s="30"/>
      <c r="BA170" s="5"/>
      <c r="BB170" s="31" t="str">
        <f aca="false">IF(OR($T170="",$M170=""),"",$T170-$M170)</f>
        <v/>
      </c>
      <c r="BC170" s="32" t="str">
        <f aca="false">IF(OR($T170="",$M170="",$M170=0),"",($T170-$M170)/$M170)</f>
        <v/>
      </c>
      <c r="BD170" s="31" t="str">
        <f aca="false">IF(OR($U170="",$M170=""),"",$U170-$M170)</f>
        <v/>
      </c>
      <c r="BE170" s="32" t="str">
        <f aca="false">IF(OR($U170="",$M170="",$M170=0),"",($U170-$M170)/$M170)</f>
        <v/>
      </c>
      <c r="BF170" s="32" t="str">
        <f aca="false">IF(OR($U170="",$J170="",$J170=0),"",($U170-$J170)/$J170)</f>
        <v/>
      </c>
      <c r="BG170" s="32" t="str">
        <f aca="false">IF(OR($M170="",$K170="",$K170=0),"",($M170-$K170)/$K170)</f>
        <v/>
      </c>
      <c r="BH170" s="32" t="str">
        <f aca="false">IF(OR($W170="",$N170="",$N170=0),"",($W170-$N170)/$N170)</f>
        <v/>
      </c>
      <c r="BI170" s="33" t="str">
        <f aca="false">IF(OR($O170="",$X170=""),"",$O170-$X170)</f>
        <v/>
      </c>
      <c r="BJ170" s="33" t="str">
        <f aca="false">IF(OR($P170="",$Y170=""),"",$P170-$Y170)</f>
        <v/>
      </c>
      <c r="BK170" s="34" t="str">
        <f aca="false">IF(OR($AN170="",$AO170="",$AN170=0),"",$AO170/$AN170)</f>
        <v/>
      </c>
      <c r="BL170" s="34" t="str">
        <f aca="false">IF(OR($AU170="",$AV170="",$AU170=0),"",$AV170/$AU170)</f>
        <v/>
      </c>
      <c r="BM170" s="7" t="str">
        <f aca="false">IF($Z170="","",IF(AND($Z170="Y",$AB170&lt;&gt;"N",$AC170&lt;&gt;"Y"),"Y","N"))</f>
        <v/>
      </c>
      <c r="BN170" s="7" t="str">
        <f aca="false">IF($AH170="","",IF($Z170&lt;&gt;"Y","undefined",IF($AH170&lt;=1,"Y","N")))</f>
        <v/>
      </c>
      <c r="BO170" s="7" t="str">
        <f aca="false">IF($AH170="","",IF($Z170&lt;&gt;"Y","undefined",IF($AH170&lt;=10,"Y","N")))</f>
        <v/>
      </c>
      <c r="BP170" s="7" t="str">
        <f aca="false">IF($AH170="","",IF($Z170&lt;&gt;"Y","undefined",IF($AH170&lt;=100,"Y","N")))</f>
        <v/>
      </c>
    </row>
    <row r="171" customFormat="false" ht="15" hidden="false" customHeight="false" outlineLevel="0" collapsed="false">
      <c r="A171" s="7" t="str">
        <f aca="false">IF($B171="","",$B171&amp;"|"&amp;$C171&amp;"|"&amp;$F171)</f>
        <v/>
      </c>
      <c r="B171" s="5"/>
      <c r="C171" s="5"/>
      <c r="D171" s="5"/>
      <c r="E171" s="5"/>
      <c r="F171" s="5"/>
      <c r="G171" s="5"/>
      <c r="H171" s="5"/>
      <c r="I171" s="5"/>
      <c r="J171" s="20"/>
      <c r="K171" s="20"/>
      <c r="L171" s="28"/>
      <c r="M171" s="20"/>
      <c r="N171" s="28"/>
      <c r="O171" s="19"/>
      <c r="P171" s="19"/>
      <c r="Q171" s="5"/>
      <c r="R171" s="19"/>
      <c r="S171" s="5"/>
      <c r="T171" s="20"/>
      <c r="U171" s="20"/>
      <c r="V171" s="29"/>
      <c r="W171" s="28"/>
      <c r="X171" s="19"/>
      <c r="Y171" s="19"/>
      <c r="Z171" s="5"/>
      <c r="AA171" s="19"/>
      <c r="AB171" s="5"/>
      <c r="AC171" s="5"/>
      <c r="AD171" s="5"/>
      <c r="AE171" s="5"/>
      <c r="AF171" s="30"/>
      <c r="AG171" s="30"/>
      <c r="AH171" s="30"/>
      <c r="AI171" s="30"/>
      <c r="AJ171" s="30"/>
      <c r="AK171" s="30"/>
      <c r="AL171" s="28"/>
      <c r="AM171" s="5"/>
      <c r="AN171" s="19"/>
      <c r="AO171" s="19"/>
      <c r="AP171" s="5"/>
      <c r="AQ171" s="5"/>
      <c r="AR171" s="5"/>
      <c r="AS171" s="5"/>
      <c r="AT171" s="5"/>
      <c r="AU171" s="19"/>
      <c r="AV171" s="19"/>
      <c r="AW171" s="5"/>
      <c r="AX171" s="5"/>
      <c r="AY171" s="19"/>
      <c r="AZ171" s="30"/>
      <c r="BA171" s="5"/>
      <c r="BB171" s="31" t="str">
        <f aca="false">IF(OR($T171="",$M171=""),"",$T171-$M171)</f>
        <v/>
      </c>
      <c r="BC171" s="32" t="str">
        <f aca="false">IF(OR($T171="",$M171="",$M171=0),"",($T171-$M171)/$M171)</f>
        <v/>
      </c>
      <c r="BD171" s="31" t="str">
        <f aca="false">IF(OR($U171="",$M171=""),"",$U171-$M171)</f>
        <v/>
      </c>
      <c r="BE171" s="32" t="str">
        <f aca="false">IF(OR($U171="",$M171="",$M171=0),"",($U171-$M171)/$M171)</f>
        <v/>
      </c>
      <c r="BF171" s="32" t="str">
        <f aca="false">IF(OR($U171="",$J171="",$J171=0),"",($U171-$J171)/$J171)</f>
        <v/>
      </c>
      <c r="BG171" s="32" t="str">
        <f aca="false">IF(OR($M171="",$K171="",$K171=0),"",($M171-$K171)/$K171)</f>
        <v/>
      </c>
      <c r="BH171" s="32" t="str">
        <f aca="false">IF(OR($W171="",$N171="",$N171=0),"",($W171-$N171)/$N171)</f>
        <v/>
      </c>
      <c r="BI171" s="33" t="str">
        <f aca="false">IF(OR($O171="",$X171=""),"",$O171-$X171)</f>
        <v/>
      </c>
      <c r="BJ171" s="33" t="str">
        <f aca="false">IF(OR($P171="",$Y171=""),"",$P171-$Y171)</f>
        <v/>
      </c>
      <c r="BK171" s="34" t="str">
        <f aca="false">IF(OR($AN171="",$AO171="",$AN171=0),"",$AO171/$AN171)</f>
        <v/>
      </c>
      <c r="BL171" s="34" t="str">
        <f aca="false">IF(OR($AU171="",$AV171="",$AU171=0),"",$AV171/$AU171)</f>
        <v/>
      </c>
      <c r="BM171" s="7" t="str">
        <f aca="false">IF($Z171="","",IF(AND($Z171="Y",$AB171&lt;&gt;"N",$AC171&lt;&gt;"Y"),"Y","N"))</f>
        <v/>
      </c>
      <c r="BN171" s="7" t="str">
        <f aca="false">IF($AH171="","",IF($Z171&lt;&gt;"Y","undefined",IF($AH171&lt;=1,"Y","N")))</f>
        <v/>
      </c>
      <c r="BO171" s="7" t="str">
        <f aca="false">IF($AH171="","",IF($Z171&lt;&gt;"Y","undefined",IF($AH171&lt;=10,"Y","N")))</f>
        <v/>
      </c>
      <c r="BP171" s="7" t="str">
        <f aca="false">IF($AH171="","",IF($Z171&lt;&gt;"Y","undefined",IF($AH171&lt;=100,"Y","N")))</f>
        <v/>
      </c>
    </row>
    <row r="172" customFormat="false" ht="15" hidden="false" customHeight="false" outlineLevel="0" collapsed="false">
      <c r="A172" s="7" t="str">
        <f aca="false">IF($B172="","",$B172&amp;"|"&amp;$C172&amp;"|"&amp;$F172)</f>
        <v/>
      </c>
      <c r="B172" s="5"/>
      <c r="C172" s="5"/>
      <c r="D172" s="5"/>
      <c r="E172" s="5"/>
      <c r="F172" s="5"/>
      <c r="G172" s="5"/>
      <c r="H172" s="5"/>
      <c r="I172" s="5"/>
      <c r="J172" s="20"/>
      <c r="K172" s="20"/>
      <c r="L172" s="28"/>
      <c r="M172" s="20"/>
      <c r="N172" s="28"/>
      <c r="O172" s="19"/>
      <c r="P172" s="19"/>
      <c r="Q172" s="5"/>
      <c r="R172" s="19"/>
      <c r="S172" s="5"/>
      <c r="T172" s="20"/>
      <c r="U172" s="20"/>
      <c r="V172" s="29"/>
      <c r="W172" s="28"/>
      <c r="X172" s="19"/>
      <c r="Y172" s="19"/>
      <c r="Z172" s="5"/>
      <c r="AA172" s="19"/>
      <c r="AB172" s="5"/>
      <c r="AC172" s="5"/>
      <c r="AD172" s="5"/>
      <c r="AE172" s="5"/>
      <c r="AF172" s="30"/>
      <c r="AG172" s="30"/>
      <c r="AH172" s="30"/>
      <c r="AI172" s="30"/>
      <c r="AJ172" s="30"/>
      <c r="AK172" s="30"/>
      <c r="AL172" s="28"/>
      <c r="AM172" s="5"/>
      <c r="AN172" s="19"/>
      <c r="AO172" s="19"/>
      <c r="AP172" s="5"/>
      <c r="AQ172" s="5"/>
      <c r="AR172" s="5"/>
      <c r="AS172" s="5"/>
      <c r="AT172" s="5"/>
      <c r="AU172" s="19"/>
      <c r="AV172" s="19"/>
      <c r="AW172" s="5"/>
      <c r="AX172" s="5"/>
      <c r="AY172" s="19"/>
      <c r="AZ172" s="30"/>
      <c r="BA172" s="5"/>
      <c r="BB172" s="31" t="str">
        <f aca="false">IF(OR($T172="",$M172=""),"",$T172-$M172)</f>
        <v/>
      </c>
      <c r="BC172" s="32" t="str">
        <f aca="false">IF(OR($T172="",$M172="",$M172=0),"",($T172-$M172)/$M172)</f>
        <v/>
      </c>
      <c r="BD172" s="31" t="str">
        <f aca="false">IF(OR($U172="",$M172=""),"",$U172-$M172)</f>
        <v/>
      </c>
      <c r="BE172" s="32" t="str">
        <f aca="false">IF(OR($U172="",$M172="",$M172=0),"",($U172-$M172)/$M172)</f>
        <v/>
      </c>
      <c r="BF172" s="32" t="str">
        <f aca="false">IF(OR($U172="",$J172="",$J172=0),"",($U172-$J172)/$J172)</f>
        <v/>
      </c>
      <c r="BG172" s="32" t="str">
        <f aca="false">IF(OR($M172="",$K172="",$K172=0),"",($M172-$K172)/$K172)</f>
        <v/>
      </c>
      <c r="BH172" s="32" t="str">
        <f aca="false">IF(OR($W172="",$N172="",$N172=0),"",($W172-$N172)/$N172)</f>
        <v/>
      </c>
      <c r="BI172" s="33" t="str">
        <f aca="false">IF(OR($O172="",$X172=""),"",$O172-$X172)</f>
        <v/>
      </c>
      <c r="BJ172" s="33" t="str">
        <f aca="false">IF(OR($P172="",$Y172=""),"",$P172-$Y172)</f>
        <v/>
      </c>
      <c r="BK172" s="34" t="str">
        <f aca="false">IF(OR($AN172="",$AO172="",$AN172=0),"",$AO172/$AN172)</f>
        <v/>
      </c>
      <c r="BL172" s="34" t="str">
        <f aca="false">IF(OR($AU172="",$AV172="",$AU172=0),"",$AV172/$AU172)</f>
        <v/>
      </c>
      <c r="BM172" s="7" t="str">
        <f aca="false">IF($Z172="","",IF(AND($Z172="Y",$AB172&lt;&gt;"N",$AC172&lt;&gt;"Y"),"Y","N"))</f>
        <v/>
      </c>
      <c r="BN172" s="7" t="str">
        <f aca="false">IF($AH172="","",IF($Z172&lt;&gt;"Y","undefined",IF($AH172&lt;=1,"Y","N")))</f>
        <v/>
      </c>
      <c r="BO172" s="7" t="str">
        <f aca="false">IF($AH172="","",IF($Z172&lt;&gt;"Y","undefined",IF($AH172&lt;=10,"Y","N")))</f>
        <v/>
      </c>
      <c r="BP172" s="7" t="str">
        <f aca="false">IF($AH172="","",IF($Z172&lt;&gt;"Y","undefined",IF($AH172&lt;=100,"Y","N")))</f>
        <v/>
      </c>
    </row>
    <row r="173" customFormat="false" ht="15" hidden="false" customHeight="false" outlineLevel="0" collapsed="false">
      <c r="A173" s="7" t="str">
        <f aca="false">IF($B173="","",$B173&amp;"|"&amp;$C173&amp;"|"&amp;$F173)</f>
        <v/>
      </c>
      <c r="B173" s="5"/>
      <c r="C173" s="5"/>
      <c r="D173" s="5"/>
      <c r="E173" s="5"/>
      <c r="F173" s="5"/>
      <c r="G173" s="5"/>
      <c r="H173" s="5"/>
      <c r="I173" s="5"/>
      <c r="J173" s="20"/>
      <c r="K173" s="20"/>
      <c r="L173" s="28"/>
      <c r="M173" s="20"/>
      <c r="N173" s="28"/>
      <c r="O173" s="19"/>
      <c r="P173" s="19"/>
      <c r="Q173" s="5"/>
      <c r="R173" s="19"/>
      <c r="S173" s="5"/>
      <c r="T173" s="20"/>
      <c r="U173" s="20"/>
      <c r="V173" s="29"/>
      <c r="W173" s="28"/>
      <c r="X173" s="19"/>
      <c r="Y173" s="19"/>
      <c r="Z173" s="5"/>
      <c r="AA173" s="19"/>
      <c r="AB173" s="5"/>
      <c r="AC173" s="5"/>
      <c r="AD173" s="5"/>
      <c r="AE173" s="5"/>
      <c r="AF173" s="30"/>
      <c r="AG173" s="30"/>
      <c r="AH173" s="30"/>
      <c r="AI173" s="30"/>
      <c r="AJ173" s="30"/>
      <c r="AK173" s="30"/>
      <c r="AL173" s="28"/>
      <c r="AM173" s="5"/>
      <c r="AN173" s="19"/>
      <c r="AO173" s="19"/>
      <c r="AP173" s="5"/>
      <c r="AQ173" s="5"/>
      <c r="AR173" s="5"/>
      <c r="AS173" s="5"/>
      <c r="AT173" s="5"/>
      <c r="AU173" s="19"/>
      <c r="AV173" s="19"/>
      <c r="AW173" s="5"/>
      <c r="AX173" s="5"/>
      <c r="AY173" s="19"/>
      <c r="AZ173" s="30"/>
      <c r="BA173" s="5"/>
      <c r="BB173" s="31" t="str">
        <f aca="false">IF(OR($T173="",$M173=""),"",$T173-$M173)</f>
        <v/>
      </c>
      <c r="BC173" s="32" t="str">
        <f aca="false">IF(OR($T173="",$M173="",$M173=0),"",($T173-$M173)/$M173)</f>
        <v/>
      </c>
      <c r="BD173" s="31" t="str">
        <f aca="false">IF(OR($U173="",$M173=""),"",$U173-$M173)</f>
        <v/>
      </c>
      <c r="BE173" s="32" t="str">
        <f aca="false">IF(OR($U173="",$M173="",$M173=0),"",($U173-$M173)/$M173)</f>
        <v/>
      </c>
      <c r="BF173" s="32" t="str">
        <f aca="false">IF(OR($U173="",$J173="",$J173=0),"",($U173-$J173)/$J173)</f>
        <v/>
      </c>
      <c r="BG173" s="32" t="str">
        <f aca="false">IF(OR($M173="",$K173="",$K173=0),"",($M173-$K173)/$K173)</f>
        <v/>
      </c>
      <c r="BH173" s="32" t="str">
        <f aca="false">IF(OR($W173="",$N173="",$N173=0),"",($W173-$N173)/$N173)</f>
        <v/>
      </c>
      <c r="BI173" s="33" t="str">
        <f aca="false">IF(OR($O173="",$X173=""),"",$O173-$X173)</f>
        <v/>
      </c>
      <c r="BJ173" s="33" t="str">
        <f aca="false">IF(OR($P173="",$Y173=""),"",$P173-$Y173)</f>
        <v/>
      </c>
      <c r="BK173" s="34" t="str">
        <f aca="false">IF(OR($AN173="",$AO173="",$AN173=0),"",$AO173/$AN173)</f>
        <v/>
      </c>
      <c r="BL173" s="34" t="str">
        <f aca="false">IF(OR($AU173="",$AV173="",$AU173=0),"",$AV173/$AU173)</f>
        <v/>
      </c>
      <c r="BM173" s="7" t="str">
        <f aca="false">IF($Z173="","",IF(AND($Z173="Y",$AB173&lt;&gt;"N",$AC173&lt;&gt;"Y"),"Y","N"))</f>
        <v/>
      </c>
      <c r="BN173" s="7" t="str">
        <f aca="false">IF($AH173="","",IF($Z173&lt;&gt;"Y","undefined",IF($AH173&lt;=1,"Y","N")))</f>
        <v/>
      </c>
      <c r="BO173" s="7" t="str">
        <f aca="false">IF($AH173="","",IF($Z173&lt;&gt;"Y","undefined",IF($AH173&lt;=10,"Y","N")))</f>
        <v/>
      </c>
      <c r="BP173" s="7" t="str">
        <f aca="false">IF($AH173="","",IF($Z173&lt;&gt;"Y","undefined",IF($AH173&lt;=100,"Y","N")))</f>
        <v/>
      </c>
    </row>
    <row r="174" customFormat="false" ht="15" hidden="false" customHeight="false" outlineLevel="0" collapsed="false">
      <c r="A174" s="7" t="str">
        <f aca="false">IF($B174="","",$B174&amp;"|"&amp;$C174&amp;"|"&amp;$F174)</f>
        <v/>
      </c>
      <c r="B174" s="5"/>
      <c r="C174" s="5"/>
      <c r="D174" s="5"/>
      <c r="E174" s="5"/>
      <c r="F174" s="5"/>
      <c r="G174" s="5"/>
      <c r="H174" s="5"/>
      <c r="I174" s="5"/>
      <c r="J174" s="20"/>
      <c r="K174" s="20"/>
      <c r="L174" s="28"/>
      <c r="M174" s="20"/>
      <c r="N174" s="28"/>
      <c r="O174" s="19"/>
      <c r="P174" s="19"/>
      <c r="Q174" s="5"/>
      <c r="R174" s="19"/>
      <c r="S174" s="5"/>
      <c r="T174" s="20"/>
      <c r="U174" s="20"/>
      <c r="V174" s="29"/>
      <c r="W174" s="28"/>
      <c r="X174" s="19"/>
      <c r="Y174" s="19"/>
      <c r="Z174" s="5"/>
      <c r="AA174" s="19"/>
      <c r="AB174" s="5"/>
      <c r="AC174" s="5"/>
      <c r="AD174" s="5"/>
      <c r="AE174" s="5"/>
      <c r="AF174" s="30"/>
      <c r="AG174" s="30"/>
      <c r="AH174" s="30"/>
      <c r="AI174" s="30"/>
      <c r="AJ174" s="30"/>
      <c r="AK174" s="30"/>
      <c r="AL174" s="28"/>
      <c r="AM174" s="5"/>
      <c r="AN174" s="19"/>
      <c r="AO174" s="19"/>
      <c r="AP174" s="5"/>
      <c r="AQ174" s="5"/>
      <c r="AR174" s="5"/>
      <c r="AS174" s="5"/>
      <c r="AT174" s="5"/>
      <c r="AU174" s="19"/>
      <c r="AV174" s="19"/>
      <c r="AW174" s="5"/>
      <c r="AX174" s="5"/>
      <c r="AY174" s="19"/>
      <c r="AZ174" s="30"/>
      <c r="BA174" s="5"/>
      <c r="BB174" s="31" t="str">
        <f aca="false">IF(OR($T174="",$M174=""),"",$T174-$M174)</f>
        <v/>
      </c>
      <c r="BC174" s="32" t="str">
        <f aca="false">IF(OR($T174="",$M174="",$M174=0),"",($T174-$M174)/$M174)</f>
        <v/>
      </c>
      <c r="BD174" s="31" t="str">
        <f aca="false">IF(OR($U174="",$M174=""),"",$U174-$M174)</f>
        <v/>
      </c>
      <c r="BE174" s="32" t="str">
        <f aca="false">IF(OR($U174="",$M174="",$M174=0),"",($U174-$M174)/$M174)</f>
        <v/>
      </c>
      <c r="BF174" s="32" t="str">
        <f aca="false">IF(OR($U174="",$J174="",$J174=0),"",($U174-$J174)/$J174)</f>
        <v/>
      </c>
      <c r="BG174" s="32" t="str">
        <f aca="false">IF(OR($M174="",$K174="",$K174=0),"",($M174-$K174)/$K174)</f>
        <v/>
      </c>
      <c r="BH174" s="32" t="str">
        <f aca="false">IF(OR($W174="",$N174="",$N174=0),"",($W174-$N174)/$N174)</f>
        <v/>
      </c>
      <c r="BI174" s="33" t="str">
        <f aca="false">IF(OR($O174="",$X174=""),"",$O174-$X174)</f>
        <v/>
      </c>
      <c r="BJ174" s="33" t="str">
        <f aca="false">IF(OR($P174="",$Y174=""),"",$P174-$Y174)</f>
        <v/>
      </c>
      <c r="BK174" s="34" t="str">
        <f aca="false">IF(OR($AN174="",$AO174="",$AN174=0),"",$AO174/$AN174)</f>
        <v/>
      </c>
      <c r="BL174" s="34" t="str">
        <f aca="false">IF(OR($AU174="",$AV174="",$AU174=0),"",$AV174/$AU174)</f>
        <v/>
      </c>
      <c r="BM174" s="7" t="str">
        <f aca="false">IF($Z174="","",IF(AND($Z174="Y",$AB174&lt;&gt;"N",$AC174&lt;&gt;"Y"),"Y","N"))</f>
        <v/>
      </c>
      <c r="BN174" s="7" t="str">
        <f aca="false">IF($AH174="","",IF($Z174&lt;&gt;"Y","undefined",IF($AH174&lt;=1,"Y","N")))</f>
        <v/>
      </c>
      <c r="BO174" s="7" t="str">
        <f aca="false">IF($AH174="","",IF($Z174&lt;&gt;"Y","undefined",IF($AH174&lt;=10,"Y","N")))</f>
        <v/>
      </c>
      <c r="BP174" s="7" t="str">
        <f aca="false">IF($AH174="","",IF($Z174&lt;&gt;"Y","undefined",IF($AH174&lt;=100,"Y","N")))</f>
        <v/>
      </c>
    </row>
    <row r="175" customFormat="false" ht="15" hidden="false" customHeight="false" outlineLevel="0" collapsed="false">
      <c r="A175" s="7" t="str">
        <f aca="false">IF($B175="","",$B175&amp;"|"&amp;$C175&amp;"|"&amp;$F175)</f>
        <v/>
      </c>
      <c r="B175" s="5"/>
      <c r="C175" s="5"/>
      <c r="D175" s="5"/>
      <c r="E175" s="5"/>
      <c r="F175" s="5"/>
      <c r="G175" s="5"/>
      <c r="H175" s="5"/>
      <c r="I175" s="5"/>
      <c r="J175" s="20"/>
      <c r="K175" s="20"/>
      <c r="L175" s="28"/>
      <c r="M175" s="20"/>
      <c r="N175" s="28"/>
      <c r="O175" s="19"/>
      <c r="P175" s="19"/>
      <c r="Q175" s="5"/>
      <c r="R175" s="19"/>
      <c r="S175" s="5"/>
      <c r="T175" s="20"/>
      <c r="U175" s="20"/>
      <c r="V175" s="29"/>
      <c r="W175" s="28"/>
      <c r="X175" s="19"/>
      <c r="Y175" s="19"/>
      <c r="Z175" s="5"/>
      <c r="AA175" s="19"/>
      <c r="AB175" s="5"/>
      <c r="AC175" s="5"/>
      <c r="AD175" s="5"/>
      <c r="AE175" s="5"/>
      <c r="AF175" s="30"/>
      <c r="AG175" s="30"/>
      <c r="AH175" s="30"/>
      <c r="AI175" s="30"/>
      <c r="AJ175" s="30"/>
      <c r="AK175" s="30"/>
      <c r="AL175" s="28"/>
      <c r="AM175" s="5"/>
      <c r="AN175" s="19"/>
      <c r="AO175" s="19"/>
      <c r="AP175" s="5"/>
      <c r="AQ175" s="5"/>
      <c r="AR175" s="5"/>
      <c r="AS175" s="5"/>
      <c r="AT175" s="5"/>
      <c r="AU175" s="19"/>
      <c r="AV175" s="19"/>
      <c r="AW175" s="5"/>
      <c r="AX175" s="5"/>
      <c r="AY175" s="19"/>
      <c r="AZ175" s="30"/>
      <c r="BA175" s="5"/>
      <c r="BB175" s="31" t="str">
        <f aca="false">IF(OR($T175="",$M175=""),"",$T175-$M175)</f>
        <v/>
      </c>
      <c r="BC175" s="32" t="str">
        <f aca="false">IF(OR($T175="",$M175="",$M175=0),"",($T175-$M175)/$M175)</f>
        <v/>
      </c>
      <c r="BD175" s="31" t="str">
        <f aca="false">IF(OR($U175="",$M175=""),"",$U175-$M175)</f>
        <v/>
      </c>
      <c r="BE175" s="32" t="str">
        <f aca="false">IF(OR($U175="",$M175="",$M175=0),"",($U175-$M175)/$M175)</f>
        <v/>
      </c>
      <c r="BF175" s="32" t="str">
        <f aca="false">IF(OR($U175="",$J175="",$J175=0),"",($U175-$J175)/$J175)</f>
        <v/>
      </c>
      <c r="BG175" s="32" t="str">
        <f aca="false">IF(OR($M175="",$K175="",$K175=0),"",($M175-$K175)/$K175)</f>
        <v/>
      </c>
      <c r="BH175" s="32" t="str">
        <f aca="false">IF(OR($W175="",$N175="",$N175=0),"",($W175-$N175)/$N175)</f>
        <v/>
      </c>
      <c r="BI175" s="33" t="str">
        <f aca="false">IF(OR($O175="",$X175=""),"",$O175-$X175)</f>
        <v/>
      </c>
      <c r="BJ175" s="33" t="str">
        <f aca="false">IF(OR($P175="",$Y175=""),"",$P175-$Y175)</f>
        <v/>
      </c>
      <c r="BK175" s="34" t="str">
        <f aca="false">IF(OR($AN175="",$AO175="",$AN175=0),"",$AO175/$AN175)</f>
        <v/>
      </c>
      <c r="BL175" s="34" t="str">
        <f aca="false">IF(OR($AU175="",$AV175="",$AU175=0),"",$AV175/$AU175)</f>
        <v/>
      </c>
      <c r="BM175" s="7" t="str">
        <f aca="false">IF($Z175="","",IF(AND($Z175="Y",$AB175&lt;&gt;"N",$AC175&lt;&gt;"Y"),"Y","N"))</f>
        <v/>
      </c>
      <c r="BN175" s="7" t="str">
        <f aca="false">IF($AH175="","",IF($Z175&lt;&gt;"Y","undefined",IF($AH175&lt;=1,"Y","N")))</f>
        <v/>
      </c>
      <c r="BO175" s="7" t="str">
        <f aca="false">IF($AH175="","",IF($Z175&lt;&gt;"Y","undefined",IF($AH175&lt;=10,"Y","N")))</f>
        <v/>
      </c>
      <c r="BP175" s="7" t="str">
        <f aca="false">IF($AH175="","",IF($Z175&lt;&gt;"Y","undefined",IF($AH175&lt;=100,"Y","N")))</f>
        <v/>
      </c>
    </row>
    <row r="176" customFormat="false" ht="15" hidden="false" customHeight="false" outlineLevel="0" collapsed="false">
      <c r="A176" s="7" t="str">
        <f aca="false">IF($B176="","",$B176&amp;"|"&amp;$C176&amp;"|"&amp;$F176)</f>
        <v/>
      </c>
      <c r="B176" s="5"/>
      <c r="C176" s="5"/>
      <c r="D176" s="5"/>
      <c r="E176" s="5"/>
      <c r="F176" s="5"/>
      <c r="G176" s="5"/>
      <c r="H176" s="5"/>
      <c r="I176" s="5"/>
      <c r="J176" s="20"/>
      <c r="K176" s="20"/>
      <c r="L176" s="28"/>
      <c r="M176" s="20"/>
      <c r="N176" s="28"/>
      <c r="O176" s="19"/>
      <c r="P176" s="19"/>
      <c r="Q176" s="5"/>
      <c r="R176" s="19"/>
      <c r="S176" s="5"/>
      <c r="T176" s="20"/>
      <c r="U176" s="20"/>
      <c r="V176" s="29"/>
      <c r="W176" s="28"/>
      <c r="X176" s="19"/>
      <c r="Y176" s="19"/>
      <c r="Z176" s="5"/>
      <c r="AA176" s="19"/>
      <c r="AB176" s="5"/>
      <c r="AC176" s="5"/>
      <c r="AD176" s="5"/>
      <c r="AE176" s="5"/>
      <c r="AF176" s="30"/>
      <c r="AG176" s="30"/>
      <c r="AH176" s="30"/>
      <c r="AI176" s="30"/>
      <c r="AJ176" s="30"/>
      <c r="AK176" s="30"/>
      <c r="AL176" s="28"/>
      <c r="AM176" s="5"/>
      <c r="AN176" s="19"/>
      <c r="AO176" s="19"/>
      <c r="AP176" s="5"/>
      <c r="AQ176" s="5"/>
      <c r="AR176" s="5"/>
      <c r="AS176" s="5"/>
      <c r="AT176" s="5"/>
      <c r="AU176" s="19"/>
      <c r="AV176" s="19"/>
      <c r="AW176" s="5"/>
      <c r="AX176" s="5"/>
      <c r="AY176" s="19"/>
      <c r="AZ176" s="30"/>
      <c r="BA176" s="5"/>
      <c r="BB176" s="31" t="str">
        <f aca="false">IF(OR($T176="",$M176=""),"",$T176-$M176)</f>
        <v/>
      </c>
      <c r="BC176" s="32" t="str">
        <f aca="false">IF(OR($T176="",$M176="",$M176=0),"",($T176-$M176)/$M176)</f>
        <v/>
      </c>
      <c r="BD176" s="31" t="str">
        <f aca="false">IF(OR($U176="",$M176=""),"",$U176-$M176)</f>
        <v/>
      </c>
      <c r="BE176" s="32" t="str">
        <f aca="false">IF(OR($U176="",$M176="",$M176=0),"",($U176-$M176)/$M176)</f>
        <v/>
      </c>
      <c r="BF176" s="32" t="str">
        <f aca="false">IF(OR($U176="",$J176="",$J176=0),"",($U176-$J176)/$J176)</f>
        <v/>
      </c>
      <c r="BG176" s="32" t="str">
        <f aca="false">IF(OR($M176="",$K176="",$K176=0),"",($M176-$K176)/$K176)</f>
        <v/>
      </c>
      <c r="BH176" s="32" t="str">
        <f aca="false">IF(OR($W176="",$N176="",$N176=0),"",($W176-$N176)/$N176)</f>
        <v/>
      </c>
      <c r="BI176" s="33" t="str">
        <f aca="false">IF(OR($O176="",$X176=""),"",$O176-$X176)</f>
        <v/>
      </c>
      <c r="BJ176" s="33" t="str">
        <f aca="false">IF(OR($P176="",$Y176=""),"",$P176-$Y176)</f>
        <v/>
      </c>
      <c r="BK176" s="34" t="str">
        <f aca="false">IF(OR($AN176="",$AO176="",$AN176=0),"",$AO176/$AN176)</f>
        <v/>
      </c>
      <c r="BL176" s="34" t="str">
        <f aca="false">IF(OR($AU176="",$AV176="",$AU176=0),"",$AV176/$AU176)</f>
        <v/>
      </c>
      <c r="BM176" s="7" t="str">
        <f aca="false">IF($Z176="","",IF(AND($Z176="Y",$AB176&lt;&gt;"N",$AC176&lt;&gt;"Y"),"Y","N"))</f>
        <v/>
      </c>
      <c r="BN176" s="7" t="str">
        <f aca="false">IF($AH176="","",IF($Z176&lt;&gt;"Y","undefined",IF($AH176&lt;=1,"Y","N")))</f>
        <v/>
      </c>
      <c r="BO176" s="7" t="str">
        <f aca="false">IF($AH176="","",IF($Z176&lt;&gt;"Y","undefined",IF($AH176&lt;=10,"Y","N")))</f>
        <v/>
      </c>
      <c r="BP176" s="7" t="str">
        <f aca="false">IF($AH176="","",IF($Z176&lt;&gt;"Y","undefined",IF($AH176&lt;=100,"Y","N")))</f>
        <v/>
      </c>
    </row>
    <row r="177" customFormat="false" ht="15" hidden="false" customHeight="false" outlineLevel="0" collapsed="false">
      <c r="A177" s="7" t="str">
        <f aca="false">IF($B177="","",$B177&amp;"|"&amp;$C177&amp;"|"&amp;$F177)</f>
        <v/>
      </c>
      <c r="B177" s="5"/>
      <c r="C177" s="5"/>
      <c r="D177" s="5"/>
      <c r="E177" s="5"/>
      <c r="F177" s="5"/>
      <c r="G177" s="5"/>
      <c r="H177" s="5"/>
      <c r="I177" s="5"/>
      <c r="J177" s="20"/>
      <c r="K177" s="20"/>
      <c r="L177" s="28"/>
      <c r="M177" s="20"/>
      <c r="N177" s="28"/>
      <c r="O177" s="19"/>
      <c r="P177" s="19"/>
      <c r="Q177" s="5"/>
      <c r="R177" s="19"/>
      <c r="S177" s="5"/>
      <c r="T177" s="20"/>
      <c r="U177" s="20"/>
      <c r="V177" s="29"/>
      <c r="W177" s="28"/>
      <c r="X177" s="19"/>
      <c r="Y177" s="19"/>
      <c r="Z177" s="5"/>
      <c r="AA177" s="19"/>
      <c r="AB177" s="5"/>
      <c r="AC177" s="5"/>
      <c r="AD177" s="5"/>
      <c r="AE177" s="5"/>
      <c r="AF177" s="30"/>
      <c r="AG177" s="30"/>
      <c r="AH177" s="30"/>
      <c r="AI177" s="30"/>
      <c r="AJ177" s="30"/>
      <c r="AK177" s="30"/>
      <c r="AL177" s="28"/>
      <c r="AM177" s="5"/>
      <c r="AN177" s="19"/>
      <c r="AO177" s="19"/>
      <c r="AP177" s="5"/>
      <c r="AQ177" s="5"/>
      <c r="AR177" s="5"/>
      <c r="AS177" s="5"/>
      <c r="AT177" s="5"/>
      <c r="AU177" s="19"/>
      <c r="AV177" s="19"/>
      <c r="AW177" s="5"/>
      <c r="AX177" s="5"/>
      <c r="AY177" s="19"/>
      <c r="AZ177" s="30"/>
      <c r="BA177" s="5"/>
      <c r="BB177" s="31" t="str">
        <f aca="false">IF(OR($T177="",$M177=""),"",$T177-$M177)</f>
        <v/>
      </c>
      <c r="BC177" s="32" t="str">
        <f aca="false">IF(OR($T177="",$M177="",$M177=0),"",($T177-$M177)/$M177)</f>
        <v/>
      </c>
      <c r="BD177" s="31" t="str">
        <f aca="false">IF(OR($U177="",$M177=""),"",$U177-$M177)</f>
        <v/>
      </c>
      <c r="BE177" s="32" t="str">
        <f aca="false">IF(OR($U177="",$M177="",$M177=0),"",($U177-$M177)/$M177)</f>
        <v/>
      </c>
      <c r="BF177" s="32" t="str">
        <f aca="false">IF(OR($U177="",$J177="",$J177=0),"",($U177-$J177)/$J177)</f>
        <v/>
      </c>
      <c r="BG177" s="32" t="str">
        <f aca="false">IF(OR($M177="",$K177="",$K177=0),"",($M177-$K177)/$K177)</f>
        <v/>
      </c>
      <c r="BH177" s="32" t="str">
        <f aca="false">IF(OR($W177="",$N177="",$N177=0),"",($W177-$N177)/$N177)</f>
        <v/>
      </c>
      <c r="BI177" s="33" t="str">
        <f aca="false">IF(OR($O177="",$X177=""),"",$O177-$X177)</f>
        <v/>
      </c>
      <c r="BJ177" s="33" t="str">
        <f aca="false">IF(OR($P177="",$Y177=""),"",$P177-$Y177)</f>
        <v/>
      </c>
      <c r="BK177" s="34" t="str">
        <f aca="false">IF(OR($AN177="",$AO177="",$AN177=0),"",$AO177/$AN177)</f>
        <v/>
      </c>
      <c r="BL177" s="34" t="str">
        <f aca="false">IF(OR($AU177="",$AV177="",$AU177=0),"",$AV177/$AU177)</f>
        <v/>
      </c>
      <c r="BM177" s="7" t="str">
        <f aca="false">IF($Z177="","",IF(AND($Z177="Y",$AB177&lt;&gt;"N",$AC177&lt;&gt;"Y"),"Y","N"))</f>
        <v/>
      </c>
      <c r="BN177" s="7" t="str">
        <f aca="false">IF($AH177="","",IF($Z177&lt;&gt;"Y","undefined",IF($AH177&lt;=1,"Y","N")))</f>
        <v/>
      </c>
      <c r="BO177" s="7" t="str">
        <f aca="false">IF($AH177="","",IF($Z177&lt;&gt;"Y","undefined",IF($AH177&lt;=10,"Y","N")))</f>
        <v/>
      </c>
      <c r="BP177" s="7" t="str">
        <f aca="false">IF($AH177="","",IF($Z177&lt;&gt;"Y","undefined",IF($AH177&lt;=100,"Y","N")))</f>
        <v/>
      </c>
    </row>
    <row r="178" customFormat="false" ht="15" hidden="false" customHeight="false" outlineLevel="0" collapsed="false">
      <c r="A178" s="7" t="str">
        <f aca="false">IF($B178="","",$B178&amp;"|"&amp;$C178&amp;"|"&amp;$F178)</f>
        <v/>
      </c>
      <c r="B178" s="5"/>
      <c r="C178" s="5"/>
      <c r="D178" s="5"/>
      <c r="E178" s="5"/>
      <c r="F178" s="5"/>
      <c r="G178" s="5"/>
      <c r="H178" s="5"/>
      <c r="I178" s="5"/>
      <c r="J178" s="20"/>
      <c r="K178" s="20"/>
      <c r="L178" s="28"/>
      <c r="M178" s="20"/>
      <c r="N178" s="28"/>
      <c r="O178" s="19"/>
      <c r="P178" s="19"/>
      <c r="Q178" s="5"/>
      <c r="R178" s="19"/>
      <c r="S178" s="5"/>
      <c r="T178" s="20"/>
      <c r="U178" s="20"/>
      <c r="V178" s="29"/>
      <c r="W178" s="28"/>
      <c r="X178" s="19"/>
      <c r="Y178" s="19"/>
      <c r="Z178" s="5"/>
      <c r="AA178" s="19"/>
      <c r="AB178" s="5"/>
      <c r="AC178" s="5"/>
      <c r="AD178" s="5"/>
      <c r="AE178" s="5"/>
      <c r="AF178" s="30"/>
      <c r="AG178" s="30"/>
      <c r="AH178" s="30"/>
      <c r="AI178" s="30"/>
      <c r="AJ178" s="30"/>
      <c r="AK178" s="30"/>
      <c r="AL178" s="28"/>
      <c r="AM178" s="5"/>
      <c r="AN178" s="19"/>
      <c r="AO178" s="19"/>
      <c r="AP178" s="5"/>
      <c r="AQ178" s="5"/>
      <c r="AR178" s="5"/>
      <c r="AS178" s="5"/>
      <c r="AT178" s="5"/>
      <c r="AU178" s="19"/>
      <c r="AV178" s="19"/>
      <c r="AW178" s="5"/>
      <c r="AX178" s="5"/>
      <c r="AY178" s="19"/>
      <c r="AZ178" s="30"/>
      <c r="BA178" s="5"/>
      <c r="BB178" s="31" t="str">
        <f aca="false">IF(OR($T178="",$M178=""),"",$T178-$M178)</f>
        <v/>
      </c>
      <c r="BC178" s="32" t="str">
        <f aca="false">IF(OR($T178="",$M178="",$M178=0),"",($T178-$M178)/$M178)</f>
        <v/>
      </c>
      <c r="BD178" s="31" t="str">
        <f aca="false">IF(OR($U178="",$M178=""),"",$U178-$M178)</f>
        <v/>
      </c>
      <c r="BE178" s="32" t="str">
        <f aca="false">IF(OR($U178="",$M178="",$M178=0),"",($U178-$M178)/$M178)</f>
        <v/>
      </c>
      <c r="BF178" s="32" t="str">
        <f aca="false">IF(OR($U178="",$J178="",$J178=0),"",($U178-$J178)/$J178)</f>
        <v/>
      </c>
      <c r="BG178" s="32" t="str">
        <f aca="false">IF(OR($M178="",$K178="",$K178=0),"",($M178-$K178)/$K178)</f>
        <v/>
      </c>
      <c r="BH178" s="32" t="str">
        <f aca="false">IF(OR($W178="",$N178="",$N178=0),"",($W178-$N178)/$N178)</f>
        <v/>
      </c>
      <c r="BI178" s="33" t="str">
        <f aca="false">IF(OR($O178="",$X178=""),"",$O178-$X178)</f>
        <v/>
      </c>
      <c r="BJ178" s="33" t="str">
        <f aca="false">IF(OR($P178="",$Y178=""),"",$P178-$Y178)</f>
        <v/>
      </c>
      <c r="BK178" s="34" t="str">
        <f aca="false">IF(OR($AN178="",$AO178="",$AN178=0),"",$AO178/$AN178)</f>
        <v/>
      </c>
      <c r="BL178" s="34" t="str">
        <f aca="false">IF(OR($AU178="",$AV178="",$AU178=0),"",$AV178/$AU178)</f>
        <v/>
      </c>
      <c r="BM178" s="7" t="str">
        <f aca="false">IF($Z178="","",IF(AND($Z178="Y",$AB178&lt;&gt;"N",$AC178&lt;&gt;"Y"),"Y","N"))</f>
        <v/>
      </c>
      <c r="BN178" s="7" t="str">
        <f aca="false">IF($AH178="","",IF($Z178&lt;&gt;"Y","undefined",IF($AH178&lt;=1,"Y","N")))</f>
        <v/>
      </c>
      <c r="BO178" s="7" t="str">
        <f aca="false">IF($AH178="","",IF($Z178&lt;&gt;"Y","undefined",IF($AH178&lt;=10,"Y","N")))</f>
        <v/>
      </c>
      <c r="BP178" s="7" t="str">
        <f aca="false">IF($AH178="","",IF($Z178&lt;&gt;"Y","undefined",IF($AH178&lt;=100,"Y","N")))</f>
        <v/>
      </c>
    </row>
    <row r="179" customFormat="false" ht="15" hidden="false" customHeight="false" outlineLevel="0" collapsed="false">
      <c r="A179" s="7" t="str">
        <f aca="false">IF($B179="","",$B179&amp;"|"&amp;$C179&amp;"|"&amp;$F179)</f>
        <v/>
      </c>
      <c r="B179" s="5"/>
      <c r="C179" s="5"/>
      <c r="D179" s="5"/>
      <c r="E179" s="5"/>
      <c r="F179" s="5"/>
      <c r="G179" s="5"/>
      <c r="H179" s="5"/>
      <c r="I179" s="5"/>
      <c r="J179" s="20"/>
      <c r="K179" s="20"/>
      <c r="L179" s="28"/>
      <c r="M179" s="20"/>
      <c r="N179" s="28"/>
      <c r="O179" s="19"/>
      <c r="P179" s="19"/>
      <c r="Q179" s="5"/>
      <c r="R179" s="19"/>
      <c r="S179" s="5"/>
      <c r="T179" s="20"/>
      <c r="U179" s="20"/>
      <c r="V179" s="29"/>
      <c r="W179" s="28"/>
      <c r="X179" s="19"/>
      <c r="Y179" s="19"/>
      <c r="Z179" s="5"/>
      <c r="AA179" s="19"/>
      <c r="AB179" s="5"/>
      <c r="AC179" s="5"/>
      <c r="AD179" s="5"/>
      <c r="AE179" s="5"/>
      <c r="AF179" s="30"/>
      <c r="AG179" s="30"/>
      <c r="AH179" s="30"/>
      <c r="AI179" s="30"/>
      <c r="AJ179" s="30"/>
      <c r="AK179" s="30"/>
      <c r="AL179" s="28"/>
      <c r="AM179" s="5"/>
      <c r="AN179" s="19"/>
      <c r="AO179" s="19"/>
      <c r="AP179" s="5"/>
      <c r="AQ179" s="5"/>
      <c r="AR179" s="5"/>
      <c r="AS179" s="5"/>
      <c r="AT179" s="5"/>
      <c r="AU179" s="19"/>
      <c r="AV179" s="19"/>
      <c r="AW179" s="5"/>
      <c r="AX179" s="5"/>
      <c r="AY179" s="19"/>
      <c r="AZ179" s="30"/>
      <c r="BA179" s="5"/>
      <c r="BB179" s="31" t="str">
        <f aca="false">IF(OR($T179="",$M179=""),"",$T179-$M179)</f>
        <v/>
      </c>
      <c r="BC179" s="32" t="str">
        <f aca="false">IF(OR($T179="",$M179="",$M179=0),"",($T179-$M179)/$M179)</f>
        <v/>
      </c>
      <c r="BD179" s="31" t="str">
        <f aca="false">IF(OR($U179="",$M179=""),"",$U179-$M179)</f>
        <v/>
      </c>
      <c r="BE179" s="32" t="str">
        <f aca="false">IF(OR($U179="",$M179="",$M179=0),"",($U179-$M179)/$M179)</f>
        <v/>
      </c>
      <c r="BF179" s="32" t="str">
        <f aca="false">IF(OR($U179="",$J179="",$J179=0),"",($U179-$J179)/$J179)</f>
        <v/>
      </c>
      <c r="BG179" s="32" t="str">
        <f aca="false">IF(OR($M179="",$K179="",$K179=0),"",($M179-$K179)/$K179)</f>
        <v/>
      </c>
      <c r="BH179" s="32" t="str">
        <f aca="false">IF(OR($W179="",$N179="",$N179=0),"",($W179-$N179)/$N179)</f>
        <v/>
      </c>
      <c r="BI179" s="33" t="str">
        <f aca="false">IF(OR($O179="",$X179=""),"",$O179-$X179)</f>
        <v/>
      </c>
      <c r="BJ179" s="33" t="str">
        <f aca="false">IF(OR($P179="",$Y179=""),"",$P179-$Y179)</f>
        <v/>
      </c>
      <c r="BK179" s="34" t="str">
        <f aca="false">IF(OR($AN179="",$AO179="",$AN179=0),"",$AO179/$AN179)</f>
        <v/>
      </c>
      <c r="BL179" s="34" t="str">
        <f aca="false">IF(OR($AU179="",$AV179="",$AU179=0),"",$AV179/$AU179)</f>
        <v/>
      </c>
      <c r="BM179" s="7" t="str">
        <f aca="false">IF($Z179="","",IF(AND($Z179="Y",$AB179&lt;&gt;"N",$AC179&lt;&gt;"Y"),"Y","N"))</f>
        <v/>
      </c>
      <c r="BN179" s="7" t="str">
        <f aca="false">IF($AH179="","",IF($Z179&lt;&gt;"Y","undefined",IF($AH179&lt;=1,"Y","N")))</f>
        <v/>
      </c>
      <c r="BO179" s="7" t="str">
        <f aca="false">IF($AH179="","",IF($Z179&lt;&gt;"Y","undefined",IF($AH179&lt;=10,"Y","N")))</f>
        <v/>
      </c>
      <c r="BP179" s="7" t="str">
        <f aca="false">IF($AH179="","",IF($Z179&lt;&gt;"Y","undefined",IF($AH179&lt;=100,"Y","N")))</f>
        <v/>
      </c>
    </row>
    <row r="180" customFormat="false" ht="15" hidden="false" customHeight="false" outlineLevel="0" collapsed="false">
      <c r="A180" s="7" t="str">
        <f aca="false">IF($B180="","",$B180&amp;"|"&amp;$C180&amp;"|"&amp;$F180)</f>
        <v/>
      </c>
      <c r="B180" s="5"/>
      <c r="C180" s="5"/>
      <c r="D180" s="5"/>
      <c r="E180" s="5"/>
      <c r="F180" s="5"/>
      <c r="G180" s="5"/>
      <c r="H180" s="5"/>
      <c r="I180" s="5"/>
      <c r="J180" s="20"/>
      <c r="K180" s="20"/>
      <c r="L180" s="28"/>
      <c r="M180" s="20"/>
      <c r="N180" s="28"/>
      <c r="O180" s="19"/>
      <c r="P180" s="19"/>
      <c r="Q180" s="5"/>
      <c r="R180" s="19"/>
      <c r="S180" s="5"/>
      <c r="T180" s="20"/>
      <c r="U180" s="20"/>
      <c r="V180" s="29"/>
      <c r="W180" s="28"/>
      <c r="X180" s="19"/>
      <c r="Y180" s="19"/>
      <c r="Z180" s="5"/>
      <c r="AA180" s="19"/>
      <c r="AB180" s="5"/>
      <c r="AC180" s="5"/>
      <c r="AD180" s="5"/>
      <c r="AE180" s="5"/>
      <c r="AF180" s="30"/>
      <c r="AG180" s="30"/>
      <c r="AH180" s="30"/>
      <c r="AI180" s="30"/>
      <c r="AJ180" s="30"/>
      <c r="AK180" s="30"/>
      <c r="AL180" s="28"/>
      <c r="AM180" s="5"/>
      <c r="AN180" s="19"/>
      <c r="AO180" s="19"/>
      <c r="AP180" s="5"/>
      <c r="AQ180" s="5"/>
      <c r="AR180" s="5"/>
      <c r="AS180" s="5"/>
      <c r="AT180" s="5"/>
      <c r="AU180" s="19"/>
      <c r="AV180" s="19"/>
      <c r="AW180" s="5"/>
      <c r="AX180" s="5"/>
      <c r="AY180" s="19"/>
      <c r="AZ180" s="30"/>
      <c r="BA180" s="5"/>
      <c r="BB180" s="31" t="str">
        <f aca="false">IF(OR($T180="",$M180=""),"",$T180-$M180)</f>
        <v/>
      </c>
      <c r="BC180" s="32" t="str">
        <f aca="false">IF(OR($T180="",$M180="",$M180=0),"",($T180-$M180)/$M180)</f>
        <v/>
      </c>
      <c r="BD180" s="31" t="str">
        <f aca="false">IF(OR($U180="",$M180=""),"",$U180-$M180)</f>
        <v/>
      </c>
      <c r="BE180" s="32" t="str">
        <f aca="false">IF(OR($U180="",$M180="",$M180=0),"",($U180-$M180)/$M180)</f>
        <v/>
      </c>
      <c r="BF180" s="32" t="str">
        <f aca="false">IF(OR($U180="",$J180="",$J180=0),"",($U180-$J180)/$J180)</f>
        <v/>
      </c>
      <c r="BG180" s="32" t="str">
        <f aca="false">IF(OR($M180="",$K180="",$K180=0),"",($M180-$K180)/$K180)</f>
        <v/>
      </c>
      <c r="BH180" s="32" t="str">
        <f aca="false">IF(OR($W180="",$N180="",$N180=0),"",($W180-$N180)/$N180)</f>
        <v/>
      </c>
      <c r="BI180" s="33" t="str">
        <f aca="false">IF(OR($O180="",$X180=""),"",$O180-$X180)</f>
        <v/>
      </c>
      <c r="BJ180" s="33" t="str">
        <f aca="false">IF(OR($P180="",$Y180=""),"",$P180-$Y180)</f>
        <v/>
      </c>
      <c r="BK180" s="34" t="str">
        <f aca="false">IF(OR($AN180="",$AO180="",$AN180=0),"",$AO180/$AN180)</f>
        <v/>
      </c>
      <c r="BL180" s="34" t="str">
        <f aca="false">IF(OR($AU180="",$AV180="",$AU180=0),"",$AV180/$AU180)</f>
        <v/>
      </c>
      <c r="BM180" s="7" t="str">
        <f aca="false">IF($Z180="","",IF(AND($Z180="Y",$AB180&lt;&gt;"N",$AC180&lt;&gt;"Y"),"Y","N"))</f>
        <v/>
      </c>
      <c r="BN180" s="7" t="str">
        <f aca="false">IF($AH180="","",IF($Z180&lt;&gt;"Y","undefined",IF($AH180&lt;=1,"Y","N")))</f>
        <v/>
      </c>
      <c r="BO180" s="7" t="str">
        <f aca="false">IF($AH180="","",IF($Z180&lt;&gt;"Y","undefined",IF($AH180&lt;=10,"Y","N")))</f>
        <v/>
      </c>
      <c r="BP180" s="7" t="str">
        <f aca="false">IF($AH180="","",IF($Z180&lt;&gt;"Y","undefined",IF($AH180&lt;=100,"Y","N")))</f>
        <v/>
      </c>
    </row>
    <row r="181" customFormat="false" ht="15" hidden="false" customHeight="false" outlineLevel="0" collapsed="false">
      <c r="A181" s="7" t="str">
        <f aca="false">IF($B181="","",$B181&amp;"|"&amp;$C181&amp;"|"&amp;$F181)</f>
        <v/>
      </c>
      <c r="B181" s="5"/>
      <c r="C181" s="5"/>
      <c r="D181" s="5"/>
      <c r="E181" s="5"/>
      <c r="F181" s="5"/>
      <c r="G181" s="5"/>
      <c r="H181" s="5"/>
      <c r="I181" s="5"/>
      <c r="J181" s="20"/>
      <c r="K181" s="20"/>
      <c r="L181" s="28"/>
      <c r="M181" s="20"/>
      <c r="N181" s="28"/>
      <c r="O181" s="19"/>
      <c r="P181" s="19"/>
      <c r="Q181" s="5"/>
      <c r="R181" s="19"/>
      <c r="S181" s="5"/>
      <c r="T181" s="20"/>
      <c r="U181" s="20"/>
      <c r="V181" s="29"/>
      <c r="W181" s="28"/>
      <c r="X181" s="19"/>
      <c r="Y181" s="19"/>
      <c r="Z181" s="5"/>
      <c r="AA181" s="19"/>
      <c r="AB181" s="5"/>
      <c r="AC181" s="5"/>
      <c r="AD181" s="5"/>
      <c r="AE181" s="5"/>
      <c r="AF181" s="30"/>
      <c r="AG181" s="30"/>
      <c r="AH181" s="30"/>
      <c r="AI181" s="30"/>
      <c r="AJ181" s="30"/>
      <c r="AK181" s="30"/>
      <c r="AL181" s="28"/>
      <c r="AM181" s="5"/>
      <c r="AN181" s="19"/>
      <c r="AO181" s="19"/>
      <c r="AP181" s="5"/>
      <c r="AQ181" s="5"/>
      <c r="AR181" s="5"/>
      <c r="AS181" s="5"/>
      <c r="AT181" s="5"/>
      <c r="AU181" s="19"/>
      <c r="AV181" s="19"/>
      <c r="AW181" s="5"/>
      <c r="AX181" s="5"/>
      <c r="AY181" s="19"/>
      <c r="AZ181" s="30"/>
      <c r="BA181" s="5"/>
      <c r="BB181" s="31" t="str">
        <f aca="false">IF(OR($T181="",$M181=""),"",$T181-$M181)</f>
        <v/>
      </c>
      <c r="BC181" s="32" t="str">
        <f aca="false">IF(OR($T181="",$M181="",$M181=0),"",($T181-$M181)/$M181)</f>
        <v/>
      </c>
      <c r="BD181" s="31" t="str">
        <f aca="false">IF(OR($U181="",$M181=""),"",$U181-$M181)</f>
        <v/>
      </c>
      <c r="BE181" s="32" t="str">
        <f aca="false">IF(OR($U181="",$M181="",$M181=0),"",($U181-$M181)/$M181)</f>
        <v/>
      </c>
      <c r="BF181" s="32" t="str">
        <f aca="false">IF(OR($U181="",$J181="",$J181=0),"",($U181-$J181)/$J181)</f>
        <v/>
      </c>
      <c r="BG181" s="32" t="str">
        <f aca="false">IF(OR($M181="",$K181="",$K181=0),"",($M181-$K181)/$K181)</f>
        <v/>
      </c>
      <c r="BH181" s="32" t="str">
        <f aca="false">IF(OR($W181="",$N181="",$N181=0),"",($W181-$N181)/$N181)</f>
        <v/>
      </c>
      <c r="BI181" s="33" t="str">
        <f aca="false">IF(OR($O181="",$X181=""),"",$O181-$X181)</f>
        <v/>
      </c>
      <c r="BJ181" s="33" t="str">
        <f aca="false">IF(OR($P181="",$Y181=""),"",$P181-$Y181)</f>
        <v/>
      </c>
      <c r="BK181" s="34" t="str">
        <f aca="false">IF(OR($AN181="",$AO181="",$AN181=0),"",$AO181/$AN181)</f>
        <v/>
      </c>
      <c r="BL181" s="34" t="str">
        <f aca="false">IF(OR($AU181="",$AV181="",$AU181=0),"",$AV181/$AU181)</f>
        <v/>
      </c>
      <c r="BM181" s="7" t="str">
        <f aca="false">IF($Z181="","",IF(AND($Z181="Y",$AB181&lt;&gt;"N",$AC181&lt;&gt;"Y"),"Y","N"))</f>
        <v/>
      </c>
      <c r="BN181" s="7" t="str">
        <f aca="false">IF($AH181="","",IF($Z181&lt;&gt;"Y","undefined",IF($AH181&lt;=1,"Y","N")))</f>
        <v/>
      </c>
      <c r="BO181" s="7" t="str">
        <f aca="false">IF($AH181="","",IF($Z181&lt;&gt;"Y","undefined",IF($AH181&lt;=10,"Y","N")))</f>
        <v/>
      </c>
      <c r="BP181" s="7" t="str">
        <f aca="false">IF($AH181="","",IF($Z181&lt;&gt;"Y","undefined",IF($AH181&lt;=100,"Y","N")))</f>
        <v/>
      </c>
    </row>
    <row r="182" customFormat="false" ht="15" hidden="false" customHeight="false" outlineLevel="0" collapsed="false">
      <c r="A182" s="7" t="str">
        <f aca="false">IF($B182="","",$B182&amp;"|"&amp;$C182&amp;"|"&amp;$F182)</f>
        <v/>
      </c>
      <c r="B182" s="5"/>
      <c r="C182" s="5"/>
      <c r="D182" s="5"/>
      <c r="E182" s="5"/>
      <c r="F182" s="5"/>
      <c r="G182" s="5"/>
      <c r="H182" s="5"/>
      <c r="I182" s="5"/>
      <c r="J182" s="20"/>
      <c r="K182" s="20"/>
      <c r="L182" s="28"/>
      <c r="M182" s="20"/>
      <c r="N182" s="28"/>
      <c r="O182" s="19"/>
      <c r="P182" s="19"/>
      <c r="Q182" s="5"/>
      <c r="R182" s="19"/>
      <c r="S182" s="5"/>
      <c r="T182" s="20"/>
      <c r="U182" s="20"/>
      <c r="V182" s="29"/>
      <c r="W182" s="28"/>
      <c r="X182" s="19"/>
      <c r="Y182" s="19"/>
      <c r="Z182" s="5"/>
      <c r="AA182" s="19"/>
      <c r="AB182" s="5"/>
      <c r="AC182" s="5"/>
      <c r="AD182" s="5"/>
      <c r="AE182" s="5"/>
      <c r="AF182" s="30"/>
      <c r="AG182" s="30"/>
      <c r="AH182" s="30"/>
      <c r="AI182" s="30"/>
      <c r="AJ182" s="30"/>
      <c r="AK182" s="30"/>
      <c r="AL182" s="28"/>
      <c r="AM182" s="5"/>
      <c r="AN182" s="19"/>
      <c r="AO182" s="19"/>
      <c r="AP182" s="5"/>
      <c r="AQ182" s="5"/>
      <c r="AR182" s="5"/>
      <c r="AS182" s="5"/>
      <c r="AT182" s="5"/>
      <c r="AU182" s="19"/>
      <c r="AV182" s="19"/>
      <c r="AW182" s="5"/>
      <c r="AX182" s="5"/>
      <c r="AY182" s="19"/>
      <c r="AZ182" s="30"/>
      <c r="BA182" s="5"/>
      <c r="BB182" s="31" t="str">
        <f aca="false">IF(OR($T182="",$M182=""),"",$T182-$M182)</f>
        <v/>
      </c>
      <c r="BC182" s="32" t="str">
        <f aca="false">IF(OR($T182="",$M182="",$M182=0),"",($T182-$M182)/$M182)</f>
        <v/>
      </c>
      <c r="BD182" s="31" t="str">
        <f aca="false">IF(OR($U182="",$M182=""),"",$U182-$M182)</f>
        <v/>
      </c>
      <c r="BE182" s="32" t="str">
        <f aca="false">IF(OR($U182="",$M182="",$M182=0),"",($U182-$M182)/$M182)</f>
        <v/>
      </c>
      <c r="BF182" s="32" t="str">
        <f aca="false">IF(OR($U182="",$J182="",$J182=0),"",($U182-$J182)/$J182)</f>
        <v/>
      </c>
      <c r="BG182" s="32" t="str">
        <f aca="false">IF(OR($M182="",$K182="",$K182=0),"",($M182-$K182)/$K182)</f>
        <v/>
      </c>
      <c r="BH182" s="32" t="str">
        <f aca="false">IF(OR($W182="",$N182="",$N182=0),"",($W182-$N182)/$N182)</f>
        <v/>
      </c>
      <c r="BI182" s="33" t="str">
        <f aca="false">IF(OR($O182="",$X182=""),"",$O182-$X182)</f>
        <v/>
      </c>
      <c r="BJ182" s="33" t="str">
        <f aca="false">IF(OR($P182="",$Y182=""),"",$P182-$Y182)</f>
        <v/>
      </c>
      <c r="BK182" s="34" t="str">
        <f aca="false">IF(OR($AN182="",$AO182="",$AN182=0),"",$AO182/$AN182)</f>
        <v/>
      </c>
      <c r="BL182" s="34" t="str">
        <f aca="false">IF(OR($AU182="",$AV182="",$AU182=0),"",$AV182/$AU182)</f>
        <v/>
      </c>
      <c r="BM182" s="7" t="str">
        <f aca="false">IF($Z182="","",IF(AND($Z182="Y",$AB182&lt;&gt;"N",$AC182&lt;&gt;"Y"),"Y","N"))</f>
        <v/>
      </c>
      <c r="BN182" s="7" t="str">
        <f aca="false">IF($AH182="","",IF($Z182&lt;&gt;"Y","undefined",IF($AH182&lt;=1,"Y","N")))</f>
        <v/>
      </c>
      <c r="BO182" s="7" t="str">
        <f aca="false">IF($AH182="","",IF($Z182&lt;&gt;"Y","undefined",IF($AH182&lt;=10,"Y","N")))</f>
        <v/>
      </c>
      <c r="BP182" s="7" t="str">
        <f aca="false">IF($AH182="","",IF($Z182&lt;&gt;"Y","undefined",IF($AH182&lt;=100,"Y","N")))</f>
        <v/>
      </c>
    </row>
    <row r="183" customFormat="false" ht="15" hidden="false" customHeight="false" outlineLevel="0" collapsed="false">
      <c r="A183" s="7" t="str">
        <f aca="false">IF($B183="","",$B183&amp;"|"&amp;$C183&amp;"|"&amp;$F183)</f>
        <v/>
      </c>
      <c r="B183" s="5"/>
      <c r="C183" s="5"/>
      <c r="D183" s="5"/>
      <c r="E183" s="5"/>
      <c r="F183" s="5"/>
      <c r="G183" s="5"/>
      <c r="H183" s="5"/>
      <c r="I183" s="5"/>
      <c r="J183" s="20"/>
      <c r="K183" s="20"/>
      <c r="L183" s="28"/>
      <c r="M183" s="20"/>
      <c r="N183" s="28"/>
      <c r="O183" s="19"/>
      <c r="P183" s="19"/>
      <c r="Q183" s="5"/>
      <c r="R183" s="19"/>
      <c r="S183" s="5"/>
      <c r="T183" s="20"/>
      <c r="U183" s="20"/>
      <c r="V183" s="29"/>
      <c r="W183" s="28"/>
      <c r="X183" s="19"/>
      <c r="Y183" s="19"/>
      <c r="Z183" s="5"/>
      <c r="AA183" s="19"/>
      <c r="AB183" s="5"/>
      <c r="AC183" s="5"/>
      <c r="AD183" s="5"/>
      <c r="AE183" s="5"/>
      <c r="AF183" s="30"/>
      <c r="AG183" s="30"/>
      <c r="AH183" s="30"/>
      <c r="AI183" s="30"/>
      <c r="AJ183" s="30"/>
      <c r="AK183" s="30"/>
      <c r="AL183" s="28"/>
      <c r="AM183" s="5"/>
      <c r="AN183" s="19"/>
      <c r="AO183" s="19"/>
      <c r="AP183" s="5"/>
      <c r="AQ183" s="5"/>
      <c r="AR183" s="5"/>
      <c r="AS183" s="5"/>
      <c r="AT183" s="5"/>
      <c r="AU183" s="19"/>
      <c r="AV183" s="19"/>
      <c r="AW183" s="5"/>
      <c r="AX183" s="5"/>
      <c r="AY183" s="19"/>
      <c r="AZ183" s="30"/>
      <c r="BA183" s="5"/>
      <c r="BB183" s="31" t="str">
        <f aca="false">IF(OR($T183="",$M183=""),"",$T183-$M183)</f>
        <v/>
      </c>
      <c r="BC183" s="32" t="str">
        <f aca="false">IF(OR($T183="",$M183="",$M183=0),"",($T183-$M183)/$M183)</f>
        <v/>
      </c>
      <c r="BD183" s="31" t="str">
        <f aca="false">IF(OR($U183="",$M183=""),"",$U183-$M183)</f>
        <v/>
      </c>
      <c r="BE183" s="32" t="str">
        <f aca="false">IF(OR($U183="",$M183="",$M183=0),"",($U183-$M183)/$M183)</f>
        <v/>
      </c>
      <c r="BF183" s="32" t="str">
        <f aca="false">IF(OR($U183="",$J183="",$J183=0),"",($U183-$J183)/$J183)</f>
        <v/>
      </c>
      <c r="BG183" s="32" t="str">
        <f aca="false">IF(OR($M183="",$K183="",$K183=0),"",($M183-$K183)/$K183)</f>
        <v/>
      </c>
      <c r="BH183" s="32" t="str">
        <f aca="false">IF(OR($W183="",$N183="",$N183=0),"",($W183-$N183)/$N183)</f>
        <v/>
      </c>
      <c r="BI183" s="33" t="str">
        <f aca="false">IF(OR($O183="",$X183=""),"",$O183-$X183)</f>
        <v/>
      </c>
      <c r="BJ183" s="33" t="str">
        <f aca="false">IF(OR($P183="",$Y183=""),"",$P183-$Y183)</f>
        <v/>
      </c>
      <c r="BK183" s="34" t="str">
        <f aca="false">IF(OR($AN183="",$AO183="",$AN183=0),"",$AO183/$AN183)</f>
        <v/>
      </c>
      <c r="BL183" s="34" t="str">
        <f aca="false">IF(OR($AU183="",$AV183="",$AU183=0),"",$AV183/$AU183)</f>
        <v/>
      </c>
      <c r="BM183" s="7" t="str">
        <f aca="false">IF($Z183="","",IF(AND($Z183="Y",$AB183&lt;&gt;"N",$AC183&lt;&gt;"Y"),"Y","N"))</f>
        <v/>
      </c>
      <c r="BN183" s="7" t="str">
        <f aca="false">IF($AH183="","",IF($Z183&lt;&gt;"Y","undefined",IF($AH183&lt;=1,"Y","N")))</f>
        <v/>
      </c>
      <c r="BO183" s="7" t="str">
        <f aca="false">IF($AH183="","",IF($Z183&lt;&gt;"Y","undefined",IF($AH183&lt;=10,"Y","N")))</f>
        <v/>
      </c>
      <c r="BP183" s="7" t="str">
        <f aca="false">IF($AH183="","",IF($Z183&lt;&gt;"Y","undefined",IF($AH183&lt;=100,"Y","N")))</f>
        <v/>
      </c>
    </row>
    <row r="184" customFormat="false" ht="15" hidden="false" customHeight="false" outlineLevel="0" collapsed="false">
      <c r="A184" s="7" t="str">
        <f aca="false">IF($B184="","",$B184&amp;"|"&amp;$C184&amp;"|"&amp;$F184)</f>
        <v/>
      </c>
      <c r="B184" s="5"/>
      <c r="C184" s="5"/>
      <c r="D184" s="5"/>
      <c r="E184" s="5"/>
      <c r="F184" s="5"/>
      <c r="G184" s="5"/>
      <c r="H184" s="5"/>
      <c r="I184" s="5"/>
      <c r="J184" s="20"/>
      <c r="K184" s="20"/>
      <c r="L184" s="28"/>
      <c r="M184" s="20"/>
      <c r="N184" s="28"/>
      <c r="O184" s="19"/>
      <c r="P184" s="19"/>
      <c r="Q184" s="5"/>
      <c r="R184" s="19"/>
      <c r="S184" s="5"/>
      <c r="T184" s="20"/>
      <c r="U184" s="20"/>
      <c r="V184" s="29"/>
      <c r="W184" s="28"/>
      <c r="X184" s="19"/>
      <c r="Y184" s="19"/>
      <c r="Z184" s="5"/>
      <c r="AA184" s="19"/>
      <c r="AB184" s="5"/>
      <c r="AC184" s="5"/>
      <c r="AD184" s="5"/>
      <c r="AE184" s="5"/>
      <c r="AF184" s="30"/>
      <c r="AG184" s="30"/>
      <c r="AH184" s="30"/>
      <c r="AI184" s="30"/>
      <c r="AJ184" s="30"/>
      <c r="AK184" s="30"/>
      <c r="AL184" s="28"/>
      <c r="AM184" s="5"/>
      <c r="AN184" s="19"/>
      <c r="AO184" s="19"/>
      <c r="AP184" s="5"/>
      <c r="AQ184" s="5"/>
      <c r="AR184" s="5"/>
      <c r="AS184" s="5"/>
      <c r="AT184" s="5"/>
      <c r="AU184" s="19"/>
      <c r="AV184" s="19"/>
      <c r="AW184" s="5"/>
      <c r="AX184" s="5"/>
      <c r="AY184" s="19"/>
      <c r="AZ184" s="30"/>
      <c r="BA184" s="5"/>
      <c r="BB184" s="31" t="str">
        <f aca="false">IF(OR($T184="",$M184=""),"",$T184-$M184)</f>
        <v/>
      </c>
      <c r="BC184" s="32" t="str">
        <f aca="false">IF(OR($T184="",$M184="",$M184=0),"",($T184-$M184)/$M184)</f>
        <v/>
      </c>
      <c r="BD184" s="31" t="str">
        <f aca="false">IF(OR($U184="",$M184=""),"",$U184-$M184)</f>
        <v/>
      </c>
      <c r="BE184" s="32" t="str">
        <f aca="false">IF(OR($U184="",$M184="",$M184=0),"",($U184-$M184)/$M184)</f>
        <v/>
      </c>
      <c r="BF184" s="32" t="str">
        <f aca="false">IF(OR($U184="",$J184="",$J184=0),"",($U184-$J184)/$J184)</f>
        <v/>
      </c>
      <c r="BG184" s="32" t="str">
        <f aca="false">IF(OR($M184="",$K184="",$K184=0),"",($M184-$K184)/$K184)</f>
        <v/>
      </c>
      <c r="BH184" s="32" t="str">
        <f aca="false">IF(OR($W184="",$N184="",$N184=0),"",($W184-$N184)/$N184)</f>
        <v/>
      </c>
      <c r="BI184" s="33" t="str">
        <f aca="false">IF(OR($O184="",$X184=""),"",$O184-$X184)</f>
        <v/>
      </c>
      <c r="BJ184" s="33" t="str">
        <f aca="false">IF(OR($P184="",$Y184=""),"",$P184-$Y184)</f>
        <v/>
      </c>
      <c r="BK184" s="34" t="str">
        <f aca="false">IF(OR($AN184="",$AO184="",$AN184=0),"",$AO184/$AN184)</f>
        <v/>
      </c>
      <c r="BL184" s="34" t="str">
        <f aca="false">IF(OR($AU184="",$AV184="",$AU184=0),"",$AV184/$AU184)</f>
        <v/>
      </c>
      <c r="BM184" s="7" t="str">
        <f aca="false">IF($Z184="","",IF(AND($Z184="Y",$AB184&lt;&gt;"N",$AC184&lt;&gt;"Y"),"Y","N"))</f>
        <v/>
      </c>
      <c r="BN184" s="7" t="str">
        <f aca="false">IF($AH184="","",IF($Z184&lt;&gt;"Y","undefined",IF($AH184&lt;=1,"Y","N")))</f>
        <v/>
      </c>
      <c r="BO184" s="7" t="str">
        <f aca="false">IF($AH184="","",IF($Z184&lt;&gt;"Y","undefined",IF($AH184&lt;=10,"Y","N")))</f>
        <v/>
      </c>
      <c r="BP184" s="7" t="str">
        <f aca="false">IF($AH184="","",IF($Z184&lt;&gt;"Y","undefined",IF($AH184&lt;=100,"Y","N")))</f>
        <v/>
      </c>
    </row>
    <row r="185" customFormat="false" ht="15" hidden="false" customHeight="false" outlineLevel="0" collapsed="false">
      <c r="A185" s="7" t="str">
        <f aca="false">IF($B185="","",$B185&amp;"|"&amp;$C185&amp;"|"&amp;$F185)</f>
        <v/>
      </c>
      <c r="B185" s="5"/>
      <c r="C185" s="5"/>
      <c r="D185" s="5"/>
      <c r="E185" s="5"/>
      <c r="F185" s="5"/>
      <c r="G185" s="5"/>
      <c r="H185" s="5"/>
      <c r="I185" s="5"/>
      <c r="J185" s="20"/>
      <c r="K185" s="20"/>
      <c r="L185" s="28"/>
      <c r="M185" s="20"/>
      <c r="N185" s="28"/>
      <c r="O185" s="19"/>
      <c r="P185" s="19"/>
      <c r="Q185" s="5"/>
      <c r="R185" s="19"/>
      <c r="S185" s="5"/>
      <c r="T185" s="20"/>
      <c r="U185" s="20"/>
      <c r="V185" s="29"/>
      <c r="W185" s="28"/>
      <c r="X185" s="19"/>
      <c r="Y185" s="19"/>
      <c r="Z185" s="5"/>
      <c r="AA185" s="19"/>
      <c r="AB185" s="5"/>
      <c r="AC185" s="5"/>
      <c r="AD185" s="5"/>
      <c r="AE185" s="5"/>
      <c r="AF185" s="30"/>
      <c r="AG185" s="30"/>
      <c r="AH185" s="30"/>
      <c r="AI185" s="30"/>
      <c r="AJ185" s="30"/>
      <c r="AK185" s="30"/>
      <c r="AL185" s="28"/>
      <c r="AM185" s="5"/>
      <c r="AN185" s="19"/>
      <c r="AO185" s="19"/>
      <c r="AP185" s="5"/>
      <c r="AQ185" s="5"/>
      <c r="AR185" s="5"/>
      <c r="AS185" s="5"/>
      <c r="AT185" s="5"/>
      <c r="AU185" s="19"/>
      <c r="AV185" s="19"/>
      <c r="AW185" s="5"/>
      <c r="AX185" s="5"/>
      <c r="AY185" s="19"/>
      <c r="AZ185" s="30"/>
      <c r="BA185" s="5"/>
      <c r="BB185" s="31" t="str">
        <f aca="false">IF(OR($T185="",$M185=""),"",$T185-$M185)</f>
        <v/>
      </c>
      <c r="BC185" s="32" t="str">
        <f aca="false">IF(OR($T185="",$M185="",$M185=0),"",($T185-$M185)/$M185)</f>
        <v/>
      </c>
      <c r="BD185" s="31" t="str">
        <f aca="false">IF(OR($U185="",$M185=""),"",$U185-$M185)</f>
        <v/>
      </c>
      <c r="BE185" s="32" t="str">
        <f aca="false">IF(OR($U185="",$M185="",$M185=0),"",($U185-$M185)/$M185)</f>
        <v/>
      </c>
      <c r="BF185" s="32" t="str">
        <f aca="false">IF(OR($U185="",$J185="",$J185=0),"",($U185-$J185)/$J185)</f>
        <v/>
      </c>
      <c r="BG185" s="32" t="str">
        <f aca="false">IF(OR($M185="",$K185="",$K185=0),"",($M185-$K185)/$K185)</f>
        <v/>
      </c>
      <c r="BH185" s="32" t="str">
        <f aca="false">IF(OR($W185="",$N185="",$N185=0),"",($W185-$N185)/$N185)</f>
        <v/>
      </c>
      <c r="BI185" s="33" t="str">
        <f aca="false">IF(OR($O185="",$X185=""),"",$O185-$X185)</f>
        <v/>
      </c>
      <c r="BJ185" s="33" t="str">
        <f aca="false">IF(OR($P185="",$Y185=""),"",$P185-$Y185)</f>
        <v/>
      </c>
      <c r="BK185" s="34" t="str">
        <f aca="false">IF(OR($AN185="",$AO185="",$AN185=0),"",$AO185/$AN185)</f>
        <v/>
      </c>
      <c r="BL185" s="34" t="str">
        <f aca="false">IF(OR($AU185="",$AV185="",$AU185=0),"",$AV185/$AU185)</f>
        <v/>
      </c>
      <c r="BM185" s="7" t="str">
        <f aca="false">IF($Z185="","",IF(AND($Z185="Y",$AB185&lt;&gt;"N",$AC185&lt;&gt;"Y"),"Y","N"))</f>
        <v/>
      </c>
      <c r="BN185" s="7" t="str">
        <f aca="false">IF($AH185="","",IF($Z185&lt;&gt;"Y","undefined",IF($AH185&lt;=1,"Y","N")))</f>
        <v/>
      </c>
      <c r="BO185" s="7" t="str">
        <f aca="false">IF($AH185="","",IF($Z185&lt;&gt;"Y","undefined",IF($AH185&lt;=10,"Y","N")))</f>
        <v/>
      </c>
      <c r="BP185" s="7" t="str">
        <f aca="false">IF($AH185="","",IF($Z185&lt;&gt;"Y","undefined",IF($AH185&lt;=100,"Y","N")))</f>
        <v/>
      </c>
    </row>
    <row r="186" customFormat="false" ht="15" hidden="false" customHeight="false" outlineLevel="0" collapsed="false">
      <c r="A186" s="7" t="str">
        <f aca="false">IF($B186="","",$B186&amp;"|"&amp;$C186&amp;"|"&amp;$F186)</f>
        <v/>
      </c>
      <c r="B186" s="5"/>
      <c r="C186" s="5"/>
      <c r="D186" s="5"/>
      <c r="E186" s="5"/>
      <c r="F186" s="5"/>
      <c r="G186" s="5"/>
      <c r="H186" s="5"/>
      <c r="I186" s="5"/>
      <c r="J186" s="20"/>
      <c r="K186" s="20"/>
      <c r="L186" s="28"/>
      <c r="M186" s="20"/>
      <c r="N186" s="28"/>
      <c r="O186" s="19"/>
      <c r="P186" s="19"/>
      <c r="Q186" s="5"/>
      <c r="R186" s="19"/>
      <c r="S186" s="5"/>
      <c r="T186" s="20"/>
      <c r="U186" s="20"/>
      <c r="V186" s="29"/>
      <c r="W186" s="28"/>
      <c r="X186" s="19"/>
      <c r="Y186" s="19"/>
      <c r="Z186" s="5"/>
      <c r="AA186" s="19"/>
      <c r="AB186" s="5"/>
      <c r="AC186" s="5"/>
      <c r="AD186" s="5"/>
      <c r="AE186" s="5"/>
      <c r="AF186" s="30"/>
      <c r="AG186" s="30"/>
      <c r="AH186" s="30"/>
      <c r="AI186" s="30"/>
      <c r="AJ186" s="30"/>
      <c r="AK186" s="30"/>
      <c r="AL186" s="28"/>
      <c r="AM186" s="5"/>
      <c r="AN186" s="19"/>
      <c r="AO186" s="19"/>
      <c r="AP186" s="5"/>
      <c r="AQ186" s="5"/>
      <c r="AR186" s="5"/>
      <c r="AS186" s="5"/>
      <c r="AT186" s="5"/>
      <c r="AU186" s="19"/>
      <c r="AV186" s="19"/>
      <c r="AW186" s="5"/>
      <c r="AX186" s="5"/>
      <c r="AY186" s="19"/>
      <c r="AZ186" s="30"/>
      <c r="BA186" s="5"/>
      <c r="BB186" s="31" t="str">
        <f aca="false">IF(OR($T186="",$M186=""),"",$T186-$M186)</f>
        <v/>
      </c>
      <c r="BC186" s="32" t="str">
        <f aca="false">IF(OR($T186="",$M186="",$M186=0),"",($T186-$M186)/$M186)</f>
        <v/>
      </c>
      <c r="BD186" s="31" t="str">
        <f aca="false">IF(OR($U186="",$M186=""),"",$U186-$M186)</f>
        <v/>
      </c>
      <c r="BE186" s="32" t="str">
        <f aca="false">IF(OR($U186="",$M186="",$M186=0),"",($U186-$M186)/$M186)</f>
        <v/>
      </c>
      <c r="BF186" s="32" t="str">
        <f aca="false">IF(OR($U186="",$J186="",$J186=0),"",($U186-$J186)/$J186)</f>
        <v/>
      </c>
      <c r="BG186" s="32" t="str">
        <f aca="false">IF(OR($M186="",$K186="",$K186=0),"",($M186-$K186)/$K186)</f>
        <v/>
      </c>
      <c r="BH186" s="32" t="str">
        <f aca="false">IF(OR($W186="",$N186="",$N186=0),"",($W186-$N186)/$N186)</f>
        <v/>
      </c>
      <c r="BI186" s="33" t="str">
        <f aca="false">IF(OR($O186="",$X186=""),"",$O186-$X186)</f>
        <v/>
      </c>
      <c r="BJ186" s="33" t="str">
        <f aca="false">IF(OR($P186="",$Y186=""),"",$P186-$Y186)</f>
        <v/>
      </c>
      <c r="BK186" s="34" t="str">
        <f aca="false">IF(OR($AN186="",$AO186="",$AN186=0),"",$AO186/$AN186)</f>
        <v/>
      </c>
      <c r="BL186" s="34" t="str">
        <f aca="false">IF(OR($AU186="",$AV186="",$AU186=0),"",$AV186/$AU186)</f>
        <v/>
      </c>
      <c r="BM186" s="7" t="str">
        <f aca="false">IF($Z186="","",IF(AND($Z186="Y",$AB186&lt;&gt;"N",$AC186&lt;&gt;"Y"),"Y","N"))</f>
        <v/>
      </c>
      <c r="BN186" s="7" t="str">
        <f aca="false">IF($AH186="","",IF($Z186&lt;&gt;"Y","undefined",IF($AH186&lt;=1,"Y","N")))</f>
        <v/>
      </c>
      <c r="BO186" s="7" t="str">
        <f aca="false">IF($AH186="","",IF($Z186&lt;&gt;"Y","undefined",IF($AH186&lt;=10,"Y","N")))</f>
        <v/>
      </c>
      <c r="BP186" s="7" t="str">
        <f aca="false">IF($AH186="","",IF($Z186&lt;&gt;"Y","undefined",IF($AH186&lt;=100,"Y","N")))</f>
        <v/>
      </c>
    </row>
    <row r="187" customFormat="false" ht="15" hidden="false" customHeight="false" outlineLevel="0" collapsed="false">
      <c r="A187" s="7" t="str">
        <f aca="false">IF($B187="","",$B187&amp;"|"&amp;$C187&amp;"|"&amp;$F187)</f>
        <v/>
      </c>
      <c r="B187" s="5"/>
      <c r="C187" s="5"/>
      <c r="D187" s="5"/>
      <c r="E187" s="5"/>
      <c r="F187" s="5"/>
      <c r="G187" s="5"/>
      <c r="H187" s="5"/>
      <c r="I187" s="5"/>
      <c r="J187" s="20"/>
      <c r="K187" s="20"/>
      <c r="L187" s="28"/>
      <c r="M187" s="20"/>
      <c r="N187" s="28"/>
      <c r="O187" s="19"/>
      <c r="P187" s="19"/>
      <c r="Q187" s="5"/>
      <c r="R187" s="19"/>
      <c r="S187" s="5"/>
      <c r="T187" s="20"/>
      <c r="U187" s="20"/>
      <c r="V187" s="29"/>
      <c r="W187" s="28"/>
      <c r="X187" s="19"/>
      <c r="Y187" s="19"/>
      <c r="Z187" s="5"/>
      <c r="AA187" s="19"/>
      <c r="AB187" s="5"/>
      <c r="AC187" s="5"/>
      <c r="AD187" s="5"/>
      <c r="AE187" s="5"/>
      <c r="AF187" s="30"/>
      <c r="AG187" s="30"/>
      <c r="AH187" s="30"/>
      <c r="AI187" s="30"/>
      <c r="AJ187" s="30"/>
      <c r="AK187" s="30"/>
      <c r="AL187" s="28"/>
      <c r="AM187" s="5"/>
      <c r="AN187" s="19"/>
      <c r="AO187" s="19"/>
      <c r="AP187" s="5"/>
      <c r="AQ187" s="5"/>
      <c r="AR187" s="5"/>
      <c r="AS187" s="5"/>
      <c r="AT187" s="5"/>
      <c r="AU187" s="19"/>
      <c r="AV187" s="19"/>
      <c r="AW187" s="5"/>
      <c r="AX187" s="5"/>
      <c r="AY187" s="19"/>
      <c r="AZ187" s="30"/>
      <c r="BA187" s="5"/>
      <c r="BB187" s="31" t="str">
        <f aca="false">IF(OR($T187="",$M187=""),"",$T187-$M187)</f>
        <v/>
      </c>
      <c r="BC187" s="32" t="str">
        <f aca="false">IF(OR($T187="",$M187="",$M187=0),"",($T187-$M187)/$M187)</f>
        <v/>
      </c>
      <c r="BD187" s="31" t="str">
        <f aca="false">IF(OR($U187="",$M187=""),"",$U187-$M187)</f>
        <v/>
      </c>
      <c r="BE187" s="32" t="str">
        <f aca="false">IF(OR($U187="",$M187="",$M187=0),"",($U187-$M187)/$M187)</f>
        <v/>
      </c>
      <c r="BF187" s="32" t="str">
        <f aca="false">IF(OR($U187="",$J187="",$J187=0),"",($U187-$J187)/$J187)</f>
        <v/>
      </c>
      <c r="BG187" s="32" t="str">
        <f aca="false">IF(OR($M187="",$K187="",$K187=0),"",($M187-$K187)/$K187)</f>
        <v/>
      </c>
      <c r="BH187" s="32" t="str">
        <f aca="false">IF(OR($W187="",$N187="",$N187=0),"",($W187-$N187)/$N187)</f>
        <v/>
      </c>
      <c r="BI187" s="33" t="str">
        <f aca="false">IF(OR($O187="",$X187=""),"",$O187-$X187)</f>
        <v/>
      </c>
      <c r="BJ187" s="33" t="str">
        <f aca="false">IF(OR($P187="",$Y187=""),"",$P187-$Y187)</f>
        <v/>
      </c>
      <c r="BK187" s="34" t="str">
        <f aca="false">IF(OR($AN187="",$AO187="",$AN187=0),"",$AO187/$AN187)</f>
        <v/>
      </c>
      <c r="BL187" s="34" t="str">
        <f aca="false">IF(OR($AU187="",$AV187="",$AU187=0),"",$AV187/$AU187)</f>
        <v/>
      </c>
      <c r="BM187" s="7" t="str">
        <f aca="false">IF($Z187="","",IF(AND($Z187="Y",$AB187&lt;&gt;"N",$AC187&lt;&gt;"Y"),"Y","N"))</f>
        <v/>
      </c>
      <c r="BN187" s="7" t="str">
        <f aca="false">IF($AH187="","",IF($Z187&lt;&gt;"Y","undefined",IF($AH187&lt;=1,"Y","N")))</f>
        <v/>
      </c>
      <c r="BO187" s="7" t="str">
        <f aca="false">IF($AH187="","",IF($Z187&lt;&gt;"Y","undefined",IF($AH187&lt;=10,"Y","N")))</f>
        <v/>
      </c>
      <c r="BP187" s="7" t="str">
        <f aca="false">IF($AH187="","",IF($Z187&lt;&gt;"Y","undefined",IF($AH187&lt;=100,"Y","N")))</f>
        <v/>
      </c>
    </row>
    <row r="188" customFormat="false" ht="15" hidden="false" customHeight="false" outlineLevel="0" collapsed="false">
      <c r="A188" s="7" t="str">
        <f aca="false">IF($B188="","",$B188&amp;"|"&amp;$C188&amp;"|"&amp;$F188)</f>
        <v/>
      </c>
      <c r="B188" s="5"/>
      <c r="C188" s="5"/>
      <c r="D188" s="5"/>
      <c r="E188" s="5"/>
      <c r="F188" s="5"/>
      <c r="G188" s="5"/>
      <c r="H188" s="5"/>
      <c r="I188" s="5"/>
      <c r="J188" s="20"/>
      <c r="K188" s="20"/>
      <c r="L188" s="28"/>
      <c r="M188" s="20"/>
      <c r="N188" s="28"/>
      <c r="O188" s="19"/>
      <c r="P188" s="19"/>
      <c r="Q188" s="5"/>
      <c r="R188" s="19"/>
      <c r="S188" s="5"/>
      <c r="T188" s="20"/>
      <c r="U188" s="20"/>
      <c r="V188" s="29"/>
      <c r="W188" s="28"/>
      <c r="X188" s="19"/>
      <c r="Y188" s="19"/>
      <c r="Z188" s="5"/>
      <c r="AA188" s="19"/>
      <c r="AB188" s="5"/>
      <c r="AC188" s="5"/>
      <c r="AD188" s="5"/>
      <c r="AE188" s="5"/>
      <c r="AF188" s="30"/>
      <c r="AG188" s="30"/>
      <c r="AH188" s="30"/>
      <c r="AI188" s="30"/>
      <c r="AJ188" s="30"/>
      <c r="AK188" s="30"/>
      <c r="AL188" s="28"/>
      <c r="AM188" s="5"/>
      <c r="AN188" s="19"/>
      <c r="AO188" s="19"/>
      <c r="AP188" s="5"/>
      <c r="AQ188" s="5"/>
      <c r="AR188" s="5"/>
      <c r="AS188" s="5"/>
      <c r="AT188" s="5"/>
      <c r="AU188" s="19"/>
      <c r="AV188" s="19"/>
      <c r="AW188" s="5"/>
      <c r="AX188" s="5"/>
      <c r="AY188" s="19"/>
      <c r="AZ188" s="30"/>
      <c r="BA188" s="5"/>
      <c r="BB188" s="31" t="str">
        <f aca="false">IF(OR($T188="",$M188=""),"",$T188-$M188)</f>
        <v/>
      </c>
      <c r="BC188" s="32" t="str">
        <f aca="false">IF(OR($T188="",$M188="",$M188=0),"",($T188-$M188)/$M188)</f>
        <v/>
      </c>
      <c r="BD188" s="31" t="str">
        <f aca="false">IF(OR($U188="",$M188=""),"",$U188-$M188)</f>
        <v/>
      </c>
      <c r="BE188" s="32" t="str">
        <f aca="false">IF(OR($U188="",$M188="",$M188=0),"",($U188-$M188)/$M188)</f>
        <v/>
      </c>
      <c r="BF188" s="32" t="str">
        <f aca="false">IF(OR($U188="",$J188="",$J188=0),"",($U188-$J188)/$J188)</f>
        <v/>
      </c>
      <c r="BG188" s="32" t="str">
        <f aca="false">IF(OR($M188="",$K188="",$K188=0),"",($M188-$K188)/$K188)</f>
        <v/>
      </c>
      <c r="BH188" s="32" t="str">
        <f aca="false">IF(OR($W188="",$N188="",$N188=0),"",($W188-$N188)/$N188)</f>
        <v/>
      </c>
      <c r="BI188" s="33" t="str">
        <f aca="false">IF(OR($O188="",$X188=""),"",$O188-$X188)</f>
        <v/>
      </c>
      <c r="BJ188" s="33" t="str">
        <f aca="false">IF(OR($P188="",$Y188=""),"",$P188-$Y188)</f>
        <v/>
      </c>
      <c r="BK188" s="34" t="str">
        <f aca="false">IF(OR($AN188="",$AO188="",$AN188=0),"",$AO188/$AN188)</f>
        <v/>
      </c>
      <c r="BL188" s="34" t="str">
        <f aca="false">IF(OR($AU188="",$AV188="",$AU188=0),"",$AV188/$AU188)</f>
        <v/>
      </c>
      <c r="BM188" s="7" t="str">
        <f aca="false">IF($Z188="","",IF(AND($Z188="Y",$AB188&lt;&gt;"N",$AC188&lt;&gt;"Y"),"Y","N"))</f>
        <v/>
      </c>
      <c r="BN188" s="7" t="str">
        <f aca="false">IF($AH188="","",IF($Z188&lt;&gt;"Y","undefined",IF($AH188&lt;=1,"Y","N")))</f>
        <v/>
      </c>
      <c r="BO188" s="7" t="str">
        <f aca="false">IF($AH188="","",IF($Z188&lt;&gt;"Y","undefined",IF($AH188&lt;=10,"Y","N")))</f>
        <v/>
      </c>
      <c r="BP188" s="7" t="str">
        <f aca="false">IF($AH188="","",IF($Z188&lt;&gt;"Y","undefined",IF($AH188&lt;=100,"Y","N")))</f>
        <v/>
      </c>
    </row>
    <row r="189" customFormat="false" ht="15" hidden="false" customHeight="false" outlineLevel="0" collapsed="false">
      <c r="A189" s="7" t="str">
        <f aca="false">IF($B189="","",$B189&amp;"|"&amp;$C189&amp;"|"&amp;$F189)</f>
        <v/>
      </c>
      <c r="B189" s="5"/>
      <c r="C189" s="5"/>
      <c r="D189" s="5"/>
      <c r="E189" s="5"/>
      <c r="F189" s="5"/>
      <c r="G189" s="5"/>
      <c r="H189" s="5"/>
      <c r="I189" s="5"/>
      <c r="J189" s="20"/>
      <c r="K189" s="20"/>
      <c r="L189" s="28"/>
      <c r="M189" s="20"/>
      <c r="N189" s="28"/>
      <c r="O189" s="19"/>
      <c r="P189" s="19"/>
      <c r="Q189" s="5"/>
      <c r="R189" s="19"/>
      <c r="S189" s="5"/>
      <c r="T189" s="20"/>
      <c r="U189" s="20"/>
      <c r="V189" s="29"/>
      <c r="W189" s="28"/>
      <c r="X189" s="19"/>
      <c r="Y189" s="19"/>
      <c r="Z189" s="5"/>
      <c r="AA189" s="19"/>
      <c r="AB189" s="5"/>
      <c r="AC189" s="5"/>
      <c r="AD189" s="5"/>
      <c r="AE189" s="5"/>
      <c r="AF189" s="30"/>
      <c r="AG189" s="30"/>
      <c r="AH189" s="30"/>
      <c r="AI189" s="30"/>
      <c r="AJ189" s="30"/>
      <c r="AK189" s="30"/>
      <c r="AL189" s="28"/>
      <c r="AM189" s="5"/>
      <c r="AN189" s="19"/>
      <c r="AO189" s="19"/>
      <c r="AP189" s="5"/>
      <c r="AQ189" s="5"/>
      <c r="AR189" s="5"/>
      <c r="AS189" s="5"/>
      <c r="AT189" s="5"/>
      <c r="AU189" s="19"/>
      <c r="AV189" s="19"/>
      <c r="AW189" s="5"/>
      <c r="AX189" s="5"/>
      <c r="AY189" s="19"/>
      <c r="AZ189" s="30"/>
      <c r="BA189" s="5"/>
      <c r="BB189" s="31" t="str">
        <f aca="false">IF(OR($T189="",$M189=""),"",$T189-$M189)</f>
        <v/>
      </c>
      <c r="BC189" s="32" t="str">
        <f aca="false">IF(OR($T189="",$M189="",$M189=0),"",($T189-$M189)/$M189)</f>
        <v/>
      </c>
      <c r="BD189" s="31" t="str">
        <f aca="false">IF(OR($U189="",$M189=""),"",$U189-$M189)</f>
        <v/>
      </c>
      <c r="BE189" s="32" t="str">
        <f aca="false">IF(OR($U189="",$M189="",$M189=0),"",($U189-$M189)/$M189)</f>
        <v/>
      </c>
      <c r="BF189" s="32" t="str">
        <f aca="false">IF(OR($U189="",$J189="",$J189=0),"",($U189-$J189)/$J189)</f>
        <v/>
      </c>
      <c r="BG189" s="32" t="str">
        <f aca="false">IF(OR($M189="",$K189="",$K189=0),"",($M189-$K189)/$K189)</f>
        <v/>
      </c>
      <c r="BH189" s="32" t="str">
        <f aca="false">IF(OR($W189="",$N189="",$N189=0),"",($W189-$N189)/$N189)</f>
        <v/>
      </c>
      <c r="BI189" s="33" t="str">
        <f aca="false">IF(OR($O189="",$X189=""),"",$O189-$X189)</f>
        <v/>
      </c>
      <c r="BJ189" s="33" t="str">
        <f aca="false">IF(OR($P189="",$Y189=""),"",$P189-$Y189)</f>
        <v/>
      </c>
      <c r="BK189" s="34" t="str">
        <f aca="false">IF(OR($AN189="",$AO189="",$AN189=0),"",$AO189/$AN189)</f>
        <v/>
      </c>
      <c r="BL189" s="34" t="str">
        <f aca="false">IF(OR($AU189="",$AV189="",$AU189=0),"",$AV189/$AU189)</f>
        <v/>
      </c>
      <c r="BM189" s="7" t="str">
        <f aca="false">IF($Z189="","",IF(AND($Z189="Y",$AB189&lt;&gt;"N",$AC189&lt;&gt;"Y"),"Y","N"))</f>
        <v/>
      </c>
      <c r="BN189" s="7" t="str">
        <f aca="false">IF($AH189="","",IF($Z189&lt;&gt;"Y","undefined",IF($AH189&lt;=1,"Y","N")))</f>
        <v/>
      </c>
      <c r="BO189" s="7" t="str">
        <f aca="false">IF($AH189="","",IF($Z189&lt;&gt;"Y","undefined",IF($AH189&lt;=10,"Y","N")))</f>
        <v/>
      </c>
      <c r="BP189" s="7" t="str">
        <f aca="false">IF($AH189="","",IF($Z189&lt;&gt;"Y","undefined",IF($AH189&lt;=100,"Y","N")))</f>
        <v/>
      </c>
    </row>
    <row r="190" customFormat="false" ht="15" hidden="false" customHeight="false" outlineLevel="0" collapsed="false">
      <c r="A190" s="7" t="str">
        <f aca="false">IF($B190="","",$B190&amp;"|"&amp;$C190&amp;"|"&amp;$F190)</f>
        <v/>
      </c>
      <c r="B190" s="5"/>
      <c r="C190" s="5"/>
      <c r="D190" s="5"/>
      <c r="E190" s="5"/>
      <c r="F190" s="5"/>
      <c r="G190" s="5"/>
      <c r="H190" s="5"/>
      <c r="I190" s="5"/>
      <c r="J190" s="20"/>
      <c r="K190" s="20"/>
      <c r="L190" s="28"/>
      <c r="M190" s="20"/>
      <c r="N190" s="28"/>
      <c r="O190" s="19"/>
      <c r="P190" s="19"/>
      <c r="Q190" s="5"/>
      <c r="R190" s="19"/>
      <c r="S190" s="5"/>
      <c r="T190" s="20"/>
      <c r="U190" s="20"/>
      <c r="V190" s="29"/>
      <c r="W190" s="28"/>
      <c r="X190" s="19"/>
      <c r="Y190" s="19"/>
      <c r="Z190" s="5"/>
      <c r="AA190" s="19"/>
      <c r="AB190" s="5"/>
      <c r="AC190" s="5"/>
      <c r="AD190" s="5"/>
      <c r="AE190" s="5"/>
      <c r="AF190" s="30"/>
      <c r="AG190" s="30"/>
      <c r="AH190" s="30"/>
      <c r="AI190" s="30"/>
      <c r="AJ190" s="30"/>
      <c r="AK190" s="30"/>
      <c r="AL190" s="28"/>
      <c r="AM190" s="5"/>
      <c r="AN190" s="19"/>
      <c r="AO190" s="19"/>
      <c r="AP190" s="5"/>
      <c r="AQ190" s="5"/>
      <c r="AR190" s="5"/>
      <c r="AS190" s="5"/>
      <c r="AT190" s="5"/>
      <c r="AU190" s="19"/>
      <c r="AV190" s="19"/>
      <c r="AW190" s="5"/>
      <c r="AX190" s="5"/>
      <c r="AY190" s="19"/>
      <c r="AZ190" s="30"/>
      <c r="BA190" s="5"/>
      <c r="BB190" s="31" t="str">
        <f aca="false">IF(OR($T190="",$M190=""),"",$T190-$M190)</f>
        <v/>
      </c>
      <c r="BC190" s="32" t="str">
        <f aca="false">IF(OR($T190="",$M190="",$M190=0),"",($T190-$M190)/$M190)</f>
        <v/>
      </c>
      <c r="BD190" s="31" t="str">
        <f aca="false">IF(OR($U190="",$M190=""),"",$U190-$M190)</f>
        <v/>
      </c>
      <c r="BE190" s="32" t="str">
        <f aca="false">IF(OR($U190="",$M190="",$M190=0),"",($U190-$M190)/$M190)</f>
        <v/>
      </c>
      <c r="BF190" s="32" t="str">
        <f aca="false">IF(OR($U190="",$J190="",$J190=0),"",($U190-$J190)/$J190)</f>
        <v/>
      </c>
      <c r="BG190" s="32" t="str">
        <f aca="false">IF(OR($M190="",$K190="",$K190=0),"",($M190-$K190)/$K190)</f>
        <v/>
      </c>
      <c r="BH190" s="32" t="str">
        <f aca="false">IF(OR($W190="",$N190="",$N190=0),"",($W190-$N190)/$N190)</f>
        <v/>
      </c>
      <c r="BI190" s="33" t="str">
        <f aca="false">IF(OR($O190="",$X190=""),"",$O190-$X190)</f>
        <v/>
      </c>
      <c r="BJ190" s="33" t="str">
        <f aca="false">IF(OR($P190="",$Y190=""),"",$P190-$Y190)</f>
        <v/>
      </c>
      <c r="BK190" s="34" t="str">
        <f aca="false">IF(OR($AN190="",$AO190="",$AN190=0),"",$AO190/$AN190)</f>
        <v/>
      </c>
      <c r="BL190" s="34" t="str">
        <f aca="false">IF(OR($AU190="",$AV190="",$AU190=0),"",$AV190/$AU190)</f>
        <v/>
      </c>
      <c r="BM190" s="7" t="str">
        <f aca="false">IF($Z190="","",IF(AND($Z190="Y",$AB190&lt;&gt;"N",$AC190&lt;&gt;"Y"),"Y","N"))</f>
        <v/>
      </c>
      <c r="BN190" s="7" t="str">
        <f aca="false">IF($AH190="","",IF($Z190&lt;&gt;"Y","undefined",IF($AH190&lt;=1,"Y","N")))</f>
        <v/>
      </c>
      <c r="BO190" s="7" t="str">
        <f aca="false">IF($AH190="","",IF($Z190&lt;&gt;"Y","undefined",IF($AH190&lt;=10,"Y","N")))</f>
        <v/>
      </c>
      <c r="BP190" s="7" t="str">
        <f aca="false">IF($AH190="","",IF($Z190&lt;&gt;"Y","undefined",IF($AH190&lt;=100,"Y","N")))</f>
        <v/>
      </c>
    </row>
    <row r="191" customFormat="false" ht="15" hidden="false" customHeight="false" outlineLevel="0" collapsed="false">
      <c r="A191" s="7" t="str">
        <f aca="false">IF($B191="","",$B191&amp;"|"&amp;$C191&amp;"|"&amp;$F191)</f>
        <v/>
      </c>
      <c r="B191" s="5"/>
      <c r="C191" s="5"/>
      <c r="D191" s="5"/>
      <c r="E191" s="5"/>
      <c r="F191" s="5"/>
      <c r="G191" s="5"/>
      <c r="H191" s="5"/>
      <c r="I191" s="5"/>
      <c r="J191" s="20"/>
      <c r="K191" s="20"/>
      <c r="L191" s="28"/>
      <c r="M191" s="20"/>
      <c r="N191" s="28"/>
      <c r="O191" s="19"/>
      <c r="P191" s="19"/>
      <c r="Q191" s="5"/>
      <c r="R191" s="19"/>
      <c r="S191" s="5"/>
      <c r="T191" s="20"/>
      <c r="U191" s="20"/>
      <c r="V191" s="29"/>
      <c r="W191" s="28"/>
      <c r="X191" s="19"/>
      <c r="Y191" s="19"/>
      <c r="Z191" s="5"/>
      <c r="AA191" s="19"/>
      <c r="AB191" s="5"/>
      <c r="AC191" s="5"/>
      <c r="AD191" s="5"/>
      <c r="AE191" s="5"/>
      <c r="AF191" s="30"/>
      <c r="AG191" s="30"/>
      <c r="AH191" s="30"/>
      <c r="AI191" s="30"/>
      <c r="AJ191" s="30"/>
      <c r="AK191" s="30"/>
      <c r="AL191" s="28"/>
      <c r="AM191" s="5"/>
      <c r="AN191" s="19"/>
      <c r="AO191" s="19"/>
      <c r="AP191" s="5"/>
      <c r="AQ191" s="5"/>
      <c r="AR191" s="5"/>
      <c r="AS191" s="5"/>
      <c r="AT191" s="5"/>
      <c r="AU191" s="19"/>
      <c r="AV191" s="19"/>
      <c r="AW191" s="5"/>
      <c r="AX191" s="5"/>
      <c r="AY191" s="19"/>
      <c r="AZ191" s="30"/>
      <c r="BA191" s="5"/>
      <c r="BB191" s="31" t="str">
        <f aca="false">IF(OR($T191="",$M191=""),"",$T191-$M191)</f>
        <v/>
      </c>
      <c r="BC191" s="32" t="str">
        <f aca="false">IF(OR($T191="",$M191="",$M191=0),"",($T191-$M191)/$M191)</f>
        <v/>
      </c>
      <c r="BD191" s="31" t="str">
        <f aca="false">IF(OR($U191="",$M191=""),"",$U191-$M191)</f>
        <v/>
      </c>
      <c r="BE191" s="32" t="str">
        <f aca="false">IF(OR($U191="",$M191="",$M191=0),"",($U191-$M191)/$M191)</f>
        <v/>
      </c>
      <c r="BF191" s="32" t="str">
        <f aca="false">IF(OR($U191="",$J191="",$J191=0),"",($U191-$J191)/$J191)</f>
        <v/>
      </c>
      <c r="BG191" s="32" t="str">
        <f aca="false">IF(OR($M191="",$K191="",$K191=0),"",($M191-$K191)/$K191)</f>
        <v/>
      </c>
      <c r="BH191" s="32" t="str">
        <f aca="false">IF(OR($W191="",$N191="",$N191=0),"",($W191-$N191)/$N191)</f>
        <v/>
      </c>
      <c r="BI191" s="33" t="str">
        <f aca="false">IF(OR($O191="",$X191=""),"",$O191-$X191)</f>
        <v/>
      </c>
      <c r="BJ191" s="33" t="str">
        <f aca="false">IF(OR($P191="",$Y191=""),"",$P191-$Y191)</f>
        <v/>
      </c>
      <c r="BK191" s="34" t="str">
        <f aca="false">IF(OR($AN191="",$AO191="",$AN191=0),"",$AO191/$AN191)</f>
        <v/>
      </c>
      <c r="BL191" s="34" t="str">
        <f aca="false">IF(OR($AU191="",$AV191="",$AU191=0),"",$AV191/$AU191)</f>
        <v/>
      </c>
      <c r="BM191" s="7" t="str">
        <f aca="false">IF($Z191="","",IF(AND($Z191="Y",$AB191&lt;&gt;"N",$AC191&lt;&gt;"Y"),"Y","N"))</f>
        <v/>
      </c>
      <c r="BN191" s="7" t="str">
        <f aca="false">IF($AH191="","",IF($Z191&lt;&gt;"Y","undefined",IF($AH191&lt;=1,"Y","N")))</f>
        <v/>
      </c>
      <c r="BO191" s="7" t="str">
        <f aca="false">IF($AH191="","",IF($Z191&lt;&gt;"Y","undefined",IF($AH191&lt;=10,"Y","N")))</f>
        <v/>
      </c>
      <c r="BP191" s="7" t="str">
        <f aca="false">IF($AH191="","",IF($Z191&lt;&gt;"Y","undefined",IF($AH191&lt;=100,"Y","N")))</f>
        <v/>
      </c>
    </row>
    <row r="192" customFormat="false" ht="15" hidden="false" customHeight="false" outlineLevel="0" collapsed="false">
      <c r="A192" s="7" t="str">
        <f aca="false">IF($B192="","",$B192&amp;"|"&amp;$C192&amp;"|"&amp;$F192)</f>
        <v/>
      </c>
      <c r="B192" s="5"/>
      <c r="C192" s="5"/>
      <c r="D192" s="5"/>
      <c r="E192" s="5"/>
      <c r="F192" s="5"/>
      <c r="G192" s="5"/>
      <c r="H192" s="5"/>
      <c r="I192" s="5"/>
      <c r="J192" s="20"/>
      <c r="K192" s="20"/>
      <c r="L192" s="28"/>
      <c r="M192" s="20"/>
      <c r="N192" s="28"/>
      <c r="O192" s="19"/>
      <c r="P192" s="19"/>
      <c r="Q192" s="5"/>
      <c r="R192" s="19"/>
      <c r="S192" s="5"/>
      <c r="T192" s="20"/>
      <c r="U192" s="20"/>
      <c r="V192" s="29"/>
      <c r="W192" s="28"/>
      <c r="X192" s="19"/>
      <c r="Y192" s="19"/>
      <c r="Z192" s="5"/>
      <c r="AA192" s="19"/>
      <c r="AB192" s="5"/>
      <c r="AC192" s="5"/>
      <c r="AD192" s="5"/>
      <c r="AE192" s="5"/>
      <c r="AF192" s="30"/>
      <c r="AG192" s="30"/>
      <c r="AH192" s="30"/>
      <c r="AI192" s="30"/>
      <c r="AJ192" s="30"/>
      <c r="AK192" s="30"/>
      <c r="AL192" s="28"/>
      <c r="AM192" s="5"/>
      <c r="AN192" s="19"/>
      <c r="AO192" s="19"/>
      <c r="AP192" s="5"/>
      <c r="AQ192" s="5"/>
      <c r="AR192" s="5"/>
      <c r="AS192" s="5"/>
      <c r="AT192" s="5"/>
      <c r="AU192" s="19"/>
      <c r="AV192" s="19"/>
      <c r="AW192" s="5"/>
      <c r="AX192" s="5"/>
      <c r="AY192" s="19"/>
      <c r="AZ192" s="30"/>
      <c r="BA192" s="5"/>
      <c r="BB192" s="31" t="str">
        <f aca="false">IF(OR($T192="",$M192=""),"",$T192-$M192)</f>
        <v/>
      </c>
      <c r="BC192" s="32" t="str">
        <f aca="false">IF(OR($T192="",$M192="",$M192=0),"",($T192-$M192)/$M192)</f>
        <v/>
      </c>
      <c r="BD192" s="31" t="str">
        <f aca="false">IF(OR($U192="",$M192=""),"",$U192-$M192)</f>
        <v/>
      </c>
      <c r="BE192" s="32" t="str">
        <f aca="false">IF(OR($U192="",$M192="",$M192=0),"",($U192-$M192)/$M192)</f>
        <v/>
      </c>
      <c r="BF192" s="32" t="str">
        <f aca="false">IF(OR($U192="",$J192="",$J192=0),"",($U192-$J192)/$J192)</f>
        <v/>
      </c>
      <c r="BG192" s="32" t="str">
        <f aca="false">IF(OR($M192="",$K192="",$K192=0),"",($M192-$K192)/$K192)</f>
        <v/>
      </c>
      <c r="BH192" s="32" t="str">
        <f aca="false">IF(OR($W192="",$N192="",$N192=0),"",($W192-$N192)/$N192)</f>
        <v/>
      </c>
      <c r="BI192" s="33" t="str">
        <f aca="false">IF(OR($O192="",$X192=""),"",$O192-$X192)</f>
        <v/>
      </c>
      <c r="BJ192" s="33" t="str">
        <f aca="false">IF(OR($P192="",$Y192=""),"",$P192-$Y192)</f>
        <v/>
      </c>
      <c r="BK192" s="34" t="str">
        <f aca="false">IF(OR($AN192="",$AO192="",$AN192=0),"",$AO192/$AN192)</f>
        <v/>
      </c>
      <c r="BL192" s="34" t="str">
        <f aca="false">IF(OR($AU192="",$AV192="",$AU192=0),"",$AV192/$AU192)</f>
        <v/>
      </c>
      <c r="BM192" s="7" t="str">
        <f aca="false">IF($Z192="","",IF(AND($Z192="Y",$AB192&lt;&gt;"N",$AC192&lt;&gt;"Y"),"Y","N"))</f>
        <v/>
      </c>
      <c r="BN192" s="7" t="str">
        <f aca="false">IF($AH192="","",IF($Z192&lt;&gt;"Y","undefined",IF($AH192&lt;=1,"Y","N")))</f>
        <v/>
      </c>
      <c r="BO192" s="7" t="str">
        <f aca="false">IF($AH192="","",IF($Z192&lt;&gt;"Y","undefined",IF($AH192&lt;=10,"Y","N")))</f>
        <v/>
      </c>
      <c r="BP192" s="7" t="str">
        <f aca="false">IF($AH192="","",IF($Z192&lt;&gt;"Y","undefined",IF($AH192&lt;=100,"Y","N")))</f>
        <v/>
      </c>
    </row>
    <row r="193" customFormat="false" ht="15" hidden="false" customHeight="false" outlineLevel="0" collapsed="false">
      <c r="A193" s="7" t="str">
        <f aca="false">IF($B193="","",$B193&amp;"|"&amp;$C193&amp;"|"&amp;$F193)</f>
        <v/>
      </c>
      <c r="B193" s="5"/>
      <c r="C193" s="5"/>
      <c r="D193" s="5"/>
      <c r="E193" s="5"/>
      <c r="F193" s="5"/>
      <c r="G193" s="5"/>
      <c r="H193" s="5"/>
      <c r="I193" s="5"/>
      <c r="J193" s="20"/>
      <c r="K193" s="20"/>
      <c r="L193" s="28"/>
      <c r="M193" s="20"/>
      <c r="N193" s="28"/>
      <c r="O193" s="19"/>
      <c r="P193" s="19"/>
      <c r="Q193" s="5"/>
      <c r="R193" s="19"/>
      <c r="S193" s="5"/>
      <c r="T193" s="20"/>
      <c r="U193" s="20"/>
      <c r="V193" s="29"/>
      <c r="W193" s="28"/>
      <c r="X193" s="19"/>
      <c r="Y193" s="19"/>
      <c r="Z193" s="5"/>
      <c r="AA193" s="19"/>
      <c r="AB193" s="5"/>
      <c r="AC193" s="5"/>
      <c r="AD193" s="5"/>
      <c r="AE193" s="5"/>
      <c r="AF193" s="30"/>
      <c r="AG193" s="30"/>
      <c r="AH193" s="30"/>
      <c r="AI193" s="30"/>
      <c r="AJ193" s="30"/>
      <c r="AK193" s="30"/>
      <c r="AL193" s="28"/>
      <c r="AM193" s="5"/>
      <c r="AN193" s="19"/>
      <c r="AO193" s="19"/>
      <c r="AP193" s="5"/>
      <c r="AQ193" s="5"/>
      <c r="AR193" s="5"/>
      <c r="AS193" s="5"/>
      <c r="AT193" s="5"/>
      <c r="AU193" s="19"/>
      <c r="AV193" s="19"/>
      <c r="AW193" s="5"/>
      <c r="AX193" s="5"/>
      <c r="AY193" s="19"/>
      <c r="AZ193" s="30"/>
      <c r="BA193" s="5"/>
      <c r="BB193" s="31" t="str">
        <f aca="false">IF(OR($T193="",$M193=""),"",$T193-$M193)</f>
        <v/>
      </c>
      <c r="BC193" s="32" t="str">
        <f aca="false">IF(OR($T193="",$M193="",$M193=0),"",($T193-$M193)/$M193)</f>
        <v/>
      </c>
      <c r="BD193" s="31" t="str">
        <f aca="false">IF(OR($U193="",$M193=""),"",$U193-$M193)</f>
        <v/>
      </c>
      <c r="BE193" s="32" t="str">
        <f aca="false">IF(OR($U193="",$M193="",$M193=0),"",($U193-$M193)/$M193)</f>
        <v/>
      </c>
      <c r="BF193" s="32" t="str">
        <f aca="false">IF(OR($U193="",$J193="",$J193=0),"",($U193-$J193)/$J193)</f>
        <v/>
      </c>
      <c r="BG193" s="32" t="str">
        <f aca="false">IF(OR($M193="",$K193="",$K193=0),"",($M193-$K193)/$K193)</f>
        <v/>
      </c>
      <c r="BH193" s="32" t="str">
        <f aca="false">IF(OR($W193="",$N193="",$N193=0),"",($W193-$N193)/$N193)</f>
        <v/>
      </c>
      <c r="BI193" s="33" t="str">
        <f aca="false">IF(OR($O193="",$X193=""),"",$O193-$X193)</f>
        <v/>
      </c>
      <c r="BJ193" s="33" t="str">
        <f aca="false">IF(OR($P193="",$Y193=""),"",$P193-$Y193)</f>
        <v/>
      </c>
      <c r="BK193" s="34" t="str">
        <f aca="false">IF(OR($AN193="",$AO193="",$AN193=0),"",$AO193/$AN193)</f>
        <v/>
      </c>
      <c r="BL193" s="34" t="str">
        <f aca="false">IF(OR($AU193="",$AV193="",$AU193=0),"",$AV193/$AU193)</f>
        <v/>
      </c>
      <c r="BM193" s="7" t="str">
        <f aca="false">IF($Z193="","",IF(AND($Z193="Y",$AB193&lt;&gt;"N",$AC193&lt;&gt;"Y"),"Y","N"))</f>
        <v/>
      </c>
      <c r="BN193" s="7" t="str">
        <f aca="false">IF($AH193="","",IF($Z193&lt;&gt;"Y","undefined",IF($AH193&lt;=1,"Y","N")))</f>
        <v/>
      </c>
      <c r="BO193" s="7" t="str">
        <f aca="false">IF($AH193="","",IF($Z193&lt;&gt;"Y","undefined",IF($AH193&lt;=10,"Y","N")))</f>
        <v/>
      </c>
      <c r="BP193" s="7" t="str">
        <f aca="false">IF($AH193="","",IF($Z193&lt;&gt;"Y","undefined",IF($AH193&lt;=100,"Y","N")))</f>
        <v/>
      </c>
    </row>
    <row r="194" customFormat="false" ht="15" hidden="false" customHeight="false" outlineLevel="0" collapsed="false">
      <c r="A194" s="7" t="str">
        <f aca="false">IF($B194="","",$B194&amp;"|"&amp;$C194&amp;"|"&amp;$F194)</f>
        <v/>
      </c>
      <c r="B194" s="5"/>
      <c r="C194" s="5"/>
      <c r="D194" s="5"/>
      <c r="E194" s="5"/>
      <c r="F194" s="5"/>
      <c r="G194" s="5"/>
      <c r="H194" s="5"/>
      <c r="I194" s="5"/>
      <c r="J194" s="20"/>
      <c r="K194" s="20"/>
      <c r="L194" s="28"/>
      <c r="M194" s="20"/>
      <c r="N194" s="28"/>
      <c r="O194" s="19"/>
      <c r="P194" s="19"/>
      <c r="Q194" s="5"/>
      <c r="R194" s="19"/>
      <c r="S194" s="5"/>
      <c r="T194" s="20"/>
      <c r="U194" s="20"/>
      <c r="V194" s="29"/>
      <c r="W194" s="28"/>
      <c r="X194" s="19"/>
      <c r="Y194" s="19"/>
      <c r="Z194" s="5"/>
      <c r="AA194" s="19"/>
      <c r="AB194" s="5"/>
      <c r="AC194" s="5"/>
      <c r="AD194" s="5"/>
      <c r="AE194" s="5"/>
      <c r="AF194" s="30"/>
      <c r="AG194" s="30"/>
      <c r="AH194" s="30"/>
      <c r="AI194" s="30"/>
      <c r="AJ194" s="30"/>
      <c r="AK194" s="30"/>
      <c r="AL194" s="28"/>
      <c r="AM194" s="5"/>
      <c r="AN194" s="19"/>
      <c r="AO194" s="19"/>
      <c r="AP194" s="5"/>
      <c r="AQ194" s="5"/>
      <c r="AR194" s="5"/>
      <c r="AS194" s="5"/>
      <c r="AT194" s="5"/>
      <c r="AU194" s="19"/>
      <c r="AV194" s="19"/>
      <c r="AW194" s="5"/>
      <c r="AX194" s="5"/>
      <c r="AY194" s="19"/>
      <c r="AZ194" s="30"/>
      <c r="BA194" s="5"/>
      <c r="BB194" s="31" t="str">
        <f aca="false">IF(OR($T194="",$M194=""),"",$T194-$M194)</f>
        <v/>
      </c>
      <c r="BC194" s="32" t="str">
        <f aca="false">IF(OR($T194="",$M194="",$M194=0),"",($T194-$M194)/$M194)</f>
        <v/>
      </c>
      <c r="BD194" s="31" t="str">
        <f aca="false">IF(OR($U194="",$M194=""),"",$U194-$M194)</f>
        <v/>
      </c>
      <c r="BE194" s="32" t="str">
        <f aca="false">IF(OR($U194="",$M194="",$M194=0),"",($U194-$M194)/$M194)</f>
        <v/>
      </c>
      <c r="BF194" s="32" t="str">
        <f aca="false">IF(OR($U194="",$J194="",$J194=0),"",($U194-$J194)/$J194)</f>
        <v/>
      </c>
      <c r="BG194" s="32" t="str">
        <f aca="false">IF(OR($M194="",$K194="",$K194=0),"",($M194-$K194)/$K194)</f>
        <v/>
      </c>
      <c r="BH194" s="32" t="str">
        <f aca="false">IF(OR($W194="",$N194="",$N194=0),"",($W194-$N194)/$N194)</f>
        <v/>
      </c>
      <c r="BI194" s="33" t="str">
        <f aca="false">IF(OR($O194="",$X194=""),"",$O194-$X194)</f>
        <v/>
      </c>
      <c r="BJ194" s="33" t="str">
        <f aca="false">IF(OR($P194="",$Y194=""),"",$P194-$Y194)</f>
        <v/>
      </c>
      <c r="BK194" s="34" t="str">
        <f aca="false">IF(OR($AN194="",$AO194="",$AN194=0),"",$AO194/$AN194)</f>
        <v/>
      </c>
      <c r="BL194" s="34" t="str">
        <f aca="false">IF(OR($AU194="",$AV194="",$AU194=0),"",$AV194/$AU194)</f>
        <v/>
      </c>
      <c r="BM194" s="7" t="str">
        <f aca="false">IF($Z194="","",IF(AND($Z194="Y",$AB194&lt;&gt;"N",$AC194&lt;&gt;"Y"),"Y","N"))</f>
        <v/>
      </c>
      <c r="BN194" s="7" t="str">
        <f aca="false">IF($AH194="","",IF($Z194&lt;&gt;"Y","undefined",IF($AH194&lt;=1,"Y","N")))</f>
        <v/>
      </c>
      <c r="BO194" s="7" t="str">
        <f aca="false">IF($AH194="","",IF($Z194&lt;&gt;"Y","undefined",IF($AH194&lt;=10,"Y","N")))</f>
        <v/>
      </c>
      <c r="BP194" s="7" t="str">
        <f aca="false">IF($AH194="","",IF($Z194&lt;&gt;"Y","undefined",IF($AH194&lt;=100,"Y","N")))</f>
        <v/>
      </c>
    </row>
    <row r="195" customFormat="false" ht="15" hidden="false" customHeight="false" outlineLevel="0" collapsed="false">
      <c r="A195" s="7" t="str">
        <f aca="false">IF($B195="","",$B195&amp;"|"&amp;$C195&amp;"|"&amp;$F195)</f>
        <v/>
      </c>
      <c r="B195" s="5"/>
      <c r="C195" s="5"/>
      <c r="D195" s="5"/>
      <c r="E195" s="5"/>
      <c r="F195" s="5"/>
      <c r="G195" s="5"/>
      <c r="H195" s="5"/>
      <c r="I195" s="5"/>
      <c r="J195" s="20"/>
      <c r="K195" s="20"/>
      <c r="L195" s="28"/>
      <c r="M195" s="20"/>
      <c r="N195" s="28"/>
      <c r="O195" s="19"/>
      <c r="P195" s="19"/>
      <c r="Q195" s="5"/>
      <c r="R195" s="19"/>
      <c r="S195" s="5"/>
      <c r="T195" s="20"/>
      <c r="U195" s="20"/>
      <c r="V195" s="29"/>
      <c r="W195" s="28"/>
      <c r="X195" s="19"/>
      <c r="Y195" s="19"/>
      <c r="Z195" s="5"/>
      <c r="AA195" s="19"/>
      <c r="AB195" s="5"/>
      <c r="AC195" s="5"/>
      <c r="AD195" s="5"/>
      <c r="AE195" s="5"/>
      <c r="AF195" s="30"/>
      <c r="AG195" s="30"/>
      <c r="AH195" s="30"/>
      <c r="AI195" s="30"/>
      <c r="AJ195" s="30"/>
      <c r="AK195" s="30"/>
      <c r="AL195" s="28"/>
      <c r="AM195" s="5"/>
      <c r="AN195" s="19"/>
      <c r="AO195" s="19"/>
      <c r="AP195" s="5"/>
      <c r="AQ195" s="5"/>
      <c r="AR195" s="5"/>
      <c r="AS195" s="5"/>
      <c r="AT195" s="5"/>
      <c r="AU195" s="19"/>
      <c r="AV195" s="19"/>
      <c r="AW195" s="5"/>
      <c r="AX195" s="5"/>
      <c r="AY195" s="19"/>
      <c r="AZ195" s="30"/>
      <c r="BA195" s="5"/>
      <c r="BB195" s="31" t="str">
        <f aca="false">IF(OR($T195="",$M195=""),"",$T195-$M195)</f>
        <v/>
      </c>
      <c r="BC195" s="32" t="str">
        <f aca="false">IF(OR($T195="",$M195="",$M195=0),"",($T195-$M195)/$M195)</f>
        <v/>
      </c>
      <c r="BD195" s="31" t="str">
        <f aca="false">IF(OR($U195="",$M195=""),"",$U195-$M195)</f>
        <v/>
      </c>
      <c r="BE195" s="32" t="str">
        <f aca="false">IF(OR($U195="",$M195="",$M195=0),"",($U195-$M195)/$M195)</f>
        <v/>
      </c>
      <c r="BF195" s="32" t="str">
        <f aca="false">IF(OR($U195="",$J195="",$J195=0),"",($U195-$J195)/$J195)</f>
        <v/>
      </c>
      <c r="BG195" s="32" t="str">
        <f aca="false">IF(OR($M195="",$K195="",$K195=0),"",($M195-$K195)/$K195)</f>
        <v/>
      </c>
      <c r="BH195" s="32" t="str">
        <f aca="false">IF(OR($W195="",$N195="",$N195=0),"",($W195-$N195)/$N195)</f>
        <v/>
      </c>
      <c r="BI195" s="33" t="str">
        <f aca="false">IF(OR($O195="",$X195=""),"",$O195-$X195)</f>
        <v/>
      </c>
      <c r="BJ195" s="33" t="str">
        <f aca="false">IF(OR($P195="",$Y195=""),"",$P195-$Y195)</f>
        <v/>
      </c>
      <c r="BK195" s="34" t="str">
        <f aca="false">IF(OR($AN195="",$AO195="",$AN195=0),"",$AO195/$AN195)</f>
        <v/>
      </c>
      <c r="BL195" s="34" t="str">
        <f aca="false">IF(OR($AU195="",$AV195="",$AU195=0),"",$AV195/$AU195)</f>
        <v/>
      </c>
      <c r="BM195" s="7" t="str">
        <f aca="false">IF($Z195="","",IF(AND($Z195="Y",$AB195&lt;&gt;"N",$AC195&lt;&gt;"Y"),"Y","N"))</f>
        <v/>
      </c>
      <c r="BN195" s="7" t="str">
        <f aca="false">IF($AH195="","",IF($Z195&lt;&gt;"Y","undefined",IF($AH195&lt;=1,"Y","N")))</f>
        <v/>
      </c>
      <c r="BO195" s="7" t="str">
        <f aca="false">IF($AH195="","",IF($Z195&lt;&gt;"Y","undefined",IF($AH195&lt;=10,"Y","N")))</f>
        <v/>
      </c>
      <c r="BP195" s="7" t="str">
        <f aca="false">IF($AH195="","",IF($Z195&lt;&gt;"Y","undefined",IF($AH195&lt;=100,"Y","N")))</f>
        <v/>
      </c>
    </row>
    <row r="196" customFormat="false" ht="15" hidden="false" customHeight="false" outlineLevel="0" collapsed="false">
      <c r="A196" s="7" t="str">
        <f aca="false">IF($B196="","",$B196&amp;"|"&amp;$C196&amp;"|"&amp;$F196)</f>
        <v/>
      </c>
      <c r="B196" s="5"/>
      <c r="C196" s="5"/>
      <c r="D196" s="5"/>
      <c r="E196" s="5"/>
      <c r="F196" s="5"/>
      <c r="G196" s="5"/>
      <c r="H196" s="5"/>
      <c r="I196" s="5"/>
      <c r="J196" s="20"/>
      <c r="K196" s="20"/>
      <c r="L196" s="28"/>
      <c r="M196" s="20"/>
      <c r="N196" s="28"/>
      <c r="O196" s="19"/>
      <c r="P196" s="19"/>
      <c r="Q196" s="5"/>
      <c r="R196" s="19"/>
      <c r="S196" s="5"/>
      <c r="T196" s="20"/>
      <c r="U196" s="20"/>
      <c r="V196" s="29"/>
      <c r="W196" s="28"/>
      <c r="X196" s="19"/>
      <c r="Y196" s="19"/>
      <c r="Z196" s="5"/>
      <c r="AA196" s="19"/>
      <c r="AB196" s="5"/>
      <c r="AC196" s="5"/>
      <c r="AD196" s="5"/>
      <c r="AE196" s="5"/>
      <c r="AF196" s="30"/>
      <c r="AG196" s="30"/>
      <c r="AH196" s="30"/>
      <c r="AI196" s="30"/>
      <c r="AJ196" s="30"/>
      <c r="AK196" s="30"/>
      <c r="AL196" s="28"/>
      <c r="AM196" s="5"/>
      <c r="AN196" s="19"/>
      <c r="AO196" s="19"/>
      <c r="AP196" s="5"/>
      <c r="AQ196" s="5"/>
      <c r="AR196" s="5"/>
      <c r="AS196" s="5"/>
      <c r="AT196" s="5"/>
      <c r="AU196" s="19"/>
      <c r="AV196" s="19"/>
      <c r="AW196" s="5"/>
      <c r="AX196" s="5"/>
      <c r="AY196" s="19"/>
      <c r="AZ196" s="30"/>
      <c r="BA196" s="5"/>
      <c r="BB196" s="31" t="str">
        <f aca="false">IF(OR($T196="",$M196=""),"",$T196-$M196)</f>
        <v/>
      </c>
      <c r="BC196" s="32" t="str">
        <f aca="false">IF(OR($T196="",$M196="",$M196=0),"",($T196-$M196)/$M196)</f>
        <v/>
      </c>
      <c r="BD196" s="31" t="str">
        <f aca="false">IF(OR($U196="",$M196=""),"",$U196-$M196)</f>
        <v/>
      </c>
      <c r="BE196" s="32" t="str">
        <f aca="false">IF(OR($U196="",$M196="",$M196=0),"",($U196-$M196)/$M196)</f>
        <v/>
      </c>
      <c r="BF196" s="32" t="str">
        <f aca="false">IF(OR($U196="",$J196="",$J196=0),"",($U196-$J196)/$J196)</f>
        <v/>
      </c>
      <c r="BG196" s="32" t="str">
        <f aca="false">IF(OR($M196="",$K196="",$K196=0),"",($M196-$K196)/$K196)</f>
        <v/>
      </c>
      <c r="BH196" s="32" t="str">
        <f aca="false">IF(OR($W196="",$N196="",$N196=0),"",($W196-$N196)/$N196)</f>
        <v/>
      </c>
      <c r="BI196" s="33" t="str">
        <f aca="false">IF(OR($O196="",$X196=""),"",$O196-$X196)</f>
        <v/>
      </c>
      <c r="BJ196" s="33" t="str">
        <f aca="false">IF(OR($P196="",$Y196=""),"",$P196-$Y196)</f>
        <v/>
      </c>
      <c r="BK196" s="34" t="str">
        <f aca="false">IF(OR($AN196="",$AO196="",$AN196=0),"",$AO196/$AN196)</f>
        <v/>
      </c>
      <c r="BL196" s="34" t="str">
        <f aca="false">IF(OR($AU196="",$AV196="",$AU196=0),"",$AV196/$AU196)</f>
        <v/>
      </c>
      <c r="BM196" s="7" t="str">
        <f aca="false">IF($Z196="","",IF(AND($Z196="Y",$AB196&lt;&gt;"N",$AC196&lt;&gt;"Y"),"Y","N"))</f>
        <v/>
      </c>
      <c r="BN196" s="7" t="str">
        <f aca="false">IF($AH196="","",IF($Z196&lt;&gt;"Y","undefined",IF($AH196&lt;=1,"Y","N")))</f>
        <v/>
      </c>
      <c r="BO196" s="7" t="str">
        <f aca="false">IF($AH196="","",IF($Z196&lt;&gt;"Y","undefined",IF($AH196&lt;=10,"Y","N")))</f>
        <v/>
      </c>
      <c r="BP196" s="7" t="str">
        <f aca="false">IF($AH196="","",IF($Z196&lt;&gt;"Y","undefined",IF($AH196&lt;=100,"Y","N")))</f>
        <v/>
      </c>
    </row>
    <row r="197" customFormat="false" ht="15" hidden="false" customHeight="false" outlineLevel="0" collapsed="false">
      <c r="A197" s="7" t="str">
        <f aca="false">IF($B197="","",$B197&amp;"|"&amp;$C197&amp;"|"&amp;$F197)</f>
        <v/>
      </c>
      <c r="B197" s="5"/>
      <c r="C197" s="5"/>
      <c r="D197" s="5"/>
      <c r="E197" s="5"/>
      <c r="F197" s="5"/>
      <c r="G197" s="5"/>
      <c r="H197" s="5"/>
      <c r="I197" s="5"/>
      <c r="J197" s="20"/>
      <c r="K197" s="20"/>
      <c r="L197" s="28"/>
      <c r="M197" s="20"/>
      <c r="N197" s="28"/>
      <c r="O197" s="19"/>
      <c r="P197" s="19"/>
      <c r="Q197" s="5"/>
      <c r="R197" s="19"/>
      <c r="S197" s="5"/>
      <c r="T197" s="20"/>
      <c r="U197" s="20"/>
      <c r="V197" s="29"/>
      <c r="W197" s="28"/>
      <c r="X197" s="19"/>
      <c r="Y197" s="19"/>
      <c r="Z197" s="5"/>
      <c r="AA197" s="19"/>
      <c r="AB197" s="5"/>
      <c r="AC197" s="5"/>
      <c r="AD197" s="5"/>
      <c r="AE197" s="5"/>
      <c r="AF197" s="30"/>
      <c r="AG197" s="30"/>
      <c r="AH197" s="30"/>
      <c r="AI197" s="30"/>
      <c r="AJ197" s="30"/>
      <c r="AK197" s="30"/>
      <c r="AL197" s="28"/>
      <c r="AM197" s="5"/>
      <c r="AN197" s="19"/>
      <c r="AO197" s="19"/>
      <c r="AP197" s="5"/>
      <c r="AQ197" s="5"/>
      <c r="AR197" s="5"/>
      <c r="AS197" s="5"/>
      <c r="AT197" s="5"/>
      <c r="AU197" s="19"/>
      <c r="AV197" s="19"/>
      <c r="AW197" s="5"/>
      <c r="AX197" s="5"/>
      <c r="AY197" s="19"/>
      <c r="AZ197" s="30"/>
      <c r="BA197" s="5"/>
      <c r="BB197" s="31" t="str">
        <f aca="false">IF(OR($T197="",$M197=""),"",$T197-$M197)</f>
        <v/>
      </c>
      <c r="BC197" s="32" t="str">
        <f aca="false">IF(OR($T197="",$M197="",$M197=0),"",($T197-$M197)/$M197)</f>
        <v/>
      </c>
      <c r="BD197" s="31" t="str">
        <f aca="false">IF(OR($U197="",$M197=""),"",$U197-$M197)</f>
        <v/>
      </c>
      <c r="BE197" s="32" t="str">
        <f aca="false">IF(OR($U197="",$M197="",$M197=0),"",($U197-$M197)/$M197)</f>
        <v/>
      </c>
      <c r="BF197" s="32" t="str">
        <f aca="false">IF(OR($U197="",$J197="",$J197=0),"",($U197-$J197)/$J197)</f>
        <v/>
      </c>
      <c r="BG197" s="32" t="str">
        <f aca="false">IF(OR($M197="",$K197="",$K197=0),"",($M197-$K197)/$K197)</f>
        <v/>
      </c>
      <c r="BH197" s="32" t="str">
        <f aca="false">IF(OR($W197="",$N197="",$N197=0),"",($W197-$N197)/$N197)</f>
        <v/>
      </c>
      <c r="BI197" s="33" t="str">
        <f aca="false">IF(OR($O197="",$X197=""),"",$O197-$X197)</f>
        <v/>
      </c>
      <c r="BJ197" s="33" t="str">
        <f aca="false">IF(OR($P197="",$Y197=""),"",$P197-$Y197)</f>
        <v/>
      </c>
      <c r="BK197" s="34" t="str">
        <f aca="false">IF(OR($AN197="",$AO197="",$AN197=0),"",$AO197/$AN197)</f>
        <v/>
      </c>
      <c r="BL197" s="34" t="str">
        <f aca="false">IF(OR($AU197="",$AV197="",$AU197=0),"",$AV197/$AU197)</f>
        <v/>
      </c>
      <c r="BM197" s="7" t="str">
        <f aca="false">IF($Z197="","",IF(AND($Z197="Y",$AB197&lt;&gt;"N",$AC197&lt;&gt;"Y"),"Y","N"))</f>
        <v/>
      </c>
      <c r="BN197" s="7" t="str">
        <f aca="false">IF($AH197="","",IF($Z197&lt;&gt;"Y","undefined",IF($AH197&lt;=1,"Y","N")))</f>
        <v/>
      </c>
      <c r="BO197" s="7" t="str">
        <f aca="false">IF($AH197="","",IF($Z197&lt;&gt;"Y","undefined",IF($AH197&lt;=10,"Y","N")))</f>
        <v/>
      </c>
      <c r="BP197" s="7" t="str">
        <f aca="false">IF($AH197="","",IF($Z197&lt;&gt;"Y","undefined",IF($AH197&lt;=100,"Y","N")))</f>
        <v/>
      </c>
    </row>
    <row r="198" customFormat="false" ht="15" hidden="false" customHeight="false" outlineLevel="0" collapsed="false">
      <c r="A198" s="7" t="str">
        <f aca="false">IF($B198="","",$B198&amp;"|"&amp;$C198&amp;"|"&amp;$F198)</f>
        <v/>
      </c>
      <c r="B198" s="5"/>
      <c r="C198" s="5"/>
      <c r="D198" s="5"/>
      <c r="E198" s="5"/>
      <c r="F198" s="5"/>
      <c r="G198" s="5"/>
      <c r="H198" s="5"/>
      <c r="I198" s="5"/>
      <c r="J198" s="20"/>
      <c r="K198" s="20"/>
      <c r="L198" s="28"/>
      <c r="M198" s="20"/>
      <c r="N198" s="28"/>
      <c r="O198" s="19"/>
      <c r="P198" s="19"/>
      <c r="Q198" s="5"/>
      <c r="R198" s="19"/>
      <c r="S198" s="5"/>
      <c r="T198" s="20"/>
      <c r="U198" s="20"/>
      <c r="V198" s="29"/>
      <c r="W198" s="28"/>
      <c r="X198" s="19"/>
      <c r="Y198" s="19"/>
      <c r="Z198" s="5"/>
      <c r="AA198" s="19"/>
      <c r="AB198" s="5"/>
      <c r="AC198" s="5"/>
      <c r="AD198" s="5"/>
      <c r="AE198" s="5"/>
      <c r="AF198" s="30"/>
      <c r="AG198" s="30"/>
      <c r="AH198" s="30"/>
      <c r="AI198" s="30"/>
      <c r="AJ198" s="30"/>
      <c r="AK198" s="30"/>
      <c r="AL198" s="28"/>
      <c r="AM198" s="5"/>
      <c r="AN198" s="19"/>
      <c r="AO198" s="19"/>
      <c r="AP198" s="5"/>
      <c r="AQ198" s="5"/>
      <c r="AR198" s="5"/>
      <c r="AS198" s="5"/>
      <c r="AT198" s="5"/>
      <c r="AU198" s="19"/>
      <c r="AV198" s="19"/>
      <c r="AW198" s="5"/>
      <c r="AX198" s="5"/>
      <c r="AY198" s="19"/>
      <c r="AZ198" s="30"/>
      <c r="BA198" s="5"/>
      <c r="BB198" s="31" t="str">
        <f aca="false">IF(OR($T198="",$M198=""),"",$T198-$M198)</f>
        <v/>
      </c>
      <c r="BC198" s="32" t="str">
        <f aca="false">IF(OR($T198="",$M198="",$M198=0),"",($T198-$M198)/$M198)</f>
        <v/>
      </c>
      <c r="BD198" s="31" t="str">
        <f aca="false">IF(OR($U198="",$M198=""),"",$U198-$M198)</f>
        <v/>
      </c>
      <c r="BE198" s="32" t="str">
        <f aca="false">IF(OR($U198="",$M198="",$M198=0),"",($U198-$M198)/$M198)</f>
        <v/>
      </c>
      <c r="BF198" s="32" t="str">
        <f aca="false">IF(OR($U198="",$J198="",$J198=0),"",($U198-$J198)/$J198)</f>
        <v/>
      </c>
      <c r="BG198" s="32" t="str">
        <f aca="false">IF(OR($M198="",$K198="",$K198=0),"",($M198-$K198)/$K198)</f>
        <v/>
      </c>
      <c r="BH198" s="32" t="str">
        <f aca="false">IF(OR($W198="",$N198="",$N198=0),"",($W198-$N198)/$N198)</f>
        <v/>
      </c>
      <c r="BI198" s="33" t="str">
        <f aca="false">IF(OR($O198="",$X198=""),"",$O198-$X198)</f>
        <v/>
      </c>
      <c r="BJ198" s="33" t="str">
        <f aca="false">IF(OR($P198="",$Y198=""),"",$P198-$Y198)</f>
        <v/>
      </c>
      <c r="BK198" s="34" t="str">
        <f aca="false">IF(OR($AN198="",$AO198="",$AN198=0),"",$AO198/$AN198)</f>
        <v/>
      </c>
      <c r="BL198" s="34" t="str">
        <f aca="false">IF(OR($AU198="",$AV198="",$AU198=0),"",$AV198/$AU198)</f>
        <v/>
      </c>
      <c r="BM198" s="7" t="str">
        <f aca="false">IF($Z198="","",IF(AND($Z198="Y",$AB198&lt;&gt;"N",$AC198&lt;&gt;"Y"),"Y","N"))</f>
        <v/>
      </c>
      <c r="BN198" s="7" t="str">
        <f aca="false">IF($AH198="","",IF($Z198&lt;&gt;"Y","undefined",IF($AH198&lt;=1,"Y","N")))</f>
        <v/>
      </c>
      <c r="BO198" s="7" t="str">
        <f aca="false">IF($AH198="","",IF($Z198&lt;&gt;"Y","undefined",IF($AH198&lt;=10,"Y","N")))</f>
        <v/>
      </c>
      <c r="BP198" s="7" t="str">
        <f aca="false">IF($AH198="","",IF($Z198&lt;&gt;"Y","undefined",IF($AH198&lt;=100,"Y","N")))</f>
        <v/>
      </c>
    </row>
    <row r="199" customFormat="false" ht="15" hidden="false" customHeight="false" outlineLevel="0" collapsed="false">
      <c r="A199" s="7" t="str">
        <f aca="false">IF($B199="","",$B199&amp;"|"&amp;$C199&amp;"|"&amp;$F199)</f>
        <v/>
      </c>
      <c r="B199" s="5"/>
      <c r="C199" s="5"/>
      <c r="D199" s="5"/>
      <c r="E199" s="5"/>
      <c r="F199" s="5"/>
      <c r="G199" s="5"/>
      <c r="H199" s="5"/>
      <c r="I199" s="5"/>
      <c r="J199" s="20"/>
      <c r="K199" s="20"/>
      <c r="L199" s="28"/>
      <c r="M199" s="20"/>
      <c r="N199" s="28"/>
      <c r="O199" s="19"/>
      <c r="P199" s="19"/>
      <c r="Q199" s="5"/>
      <c r="R199" s="19"/>
      <c r="S199" s="5"/>
      <c r="T199" s="20"/>
      <c r="U199" s="20"/>
      <c r="V199" s="29"/>
      <c r="W199" s="28"/>
      <c r="X199" s="19"/>
      <c r="Y199" s="19"/>
      <c r="Z199" s="5"/>
      <c r="AA199" s="19"/>
      <c r="AB199" s="5"/>
      <c r="AC199" s="5"/>
      <c r="AD199" s="5"/>
      <c r="AE199" s="5"/>
      <c r="AF199" s="30"/>
      <c r="AG199" s="30"/>
      <c r="AH199" s="30"/>
      <c r="AI199" s="30"/>
      <c r="AJ199" s="30"/>
      <c r="AK199" s="30"/>
      <c r="AL199" s="28"/>
      <c r="AM199" s="5"/>
      <c r="AN199" s="19"/>
      <c r="AO199" s="19"/>
      <c r="AP199" s="5"/>
      <c r="AQ199" s="5"/>
      <c r="AR199" s="5"/>
      <c r="AS199" s="5"/>
      <c r="AT199" s="5"/>
      <c r="AU199" s="19"/>
      <c r="AV199" s="19"/>
      <c r="AW199" s="5"/>
      <c r="AX199" s="5"/>
      <c r="AY199" s="19"/>
      <c r="AZ199" s="30"/>
      <c r="BA199" s="5"/>
      <c r="BB199" s="31" t="str">
        <f aca="false">IF(OR($T199="",$M199=""),"",$T199-$M199)</f>
        <v/>
      </c>
      <c r="BC199" s="32" t="str">
        <f aca="false">IF(OR($T199="",$M199="",$M199=0),"",($T199-$M199)/$M199)</f>
        <v/>
      </c>
      <c r="BD199" s="31" t="str">
        <f aca="false">IF(OR($U199="",$M199=""),"",$U199-$M199)</f>
        <v/>
      </c>
      <c r="BE199" s="32" t="str">
        <f aca="false">IF(OR($U199="",$M199="",$M199=0),"",($U199-$M199)/$M199)</f>
        <v/>
      </c>
      <c r="BF199" s="32" t="str">
        <f aca="false">IF(OR($U199="",$J199="",$J199=0),"",($U199-$J199)/$J199)</f>
        <v/>
      </c>
      <c r="BG199" s="32" t="str">
        <f aca="false">IF(OR($M199="",$K199="",$K199=0),"",($M199-$K199)/$K199)</f>
        <v/>
      </c>
      <c r="BH199" s="32" t="str">
        <f aca="false">IF(OR($W199="",$N199="",$N199=0),"",($W199-$N199)/$N199)</f>
        <v/>
      </c>
      <c r="BI199" s="33" t="str">
        <f aca="false">IF(OR($O199="",$X199=""),"",$O199-$X199)</f>
        <v/>
      </c>
      <c r="BJ199" s="33" t="str">
        <f aca="false">IF(OR($P199="",$Y199=""),"",$P199-$Y199)</f>
        <v/>
      </c>
      <c r="BK199" s="34" t="str">
        <f aca="false">IF(OR($AN199="",$AO199="",$AN199=0),"",$AO199/$AN199)</f>
        <v/>
      </c>
      <c r="BL199" s="34" t="str">
        <f aca="false">IF(OR($AU199="",$AV199="",$AU199=0),"",$AV199/$AU199)</f>
        <v/>
      </c>
      <c r="BM199" s="7" t="str">
        <f aca="false">IF($Z199="","",IF(AND($Z199="Y",$AB199&lt;&gt;"N",$AC199&lt;&gt;"Y"),"Y","N"))</f>
        <v/>
      </c>
      <c r="BN199" s="7" t="str">
        <f aca="false">IF($AH199="","",IF($Z199&lt;&gt;"Y","undefined",IF($AH199&lt;=1,"Y","N")))</f>
        <v/>
      </c>
      <c r="BO199" s="7" t="str">
        <f aca="false">IF($AH199="","",IF($Z199&lt;&gt;"Y","undefined",IF($AH199&lt;=10,"Y","N")))</f>
        <v/>
      </c>
      <c r="BP199" s="7" t="str">
        <f aca="false">IF($AH199="","",IF($Z199&lt;&gt;"Y","undefined",IF($AH199&lt;=100,"Y","N")))</f>
        <v/>
      </c>
    </row>
    <row r="200" customFormat="false" ht="15" hidden="false" customHeight="false" outlineLevel="0" collapsed="false">
      <c r="A200" s="7" t="str">
        <f aca="false">IF($B200="","",$B200&amp;"|"&amp;$C200&amp;"|"&amp;$F200)</f>
        <v/>
      </c>
      <c r="B200" s="5"/>
      <c r="C200" s="5"/>
      <c r="D200" s="5"/>
      <c r="E200" s="5"/>
      <c r="F200" s="5"/>
      <c r="G200" s="5"/>
      <c r="H200" s="5"/>
      <c r="I200" s="5"/>
      <c r="J200" s="20"/>
      <c r="K200" s="20"/>
      <c r="L200" s="28"/>
      <c r="M200" s="20"/>
      <c r="N200" s="28"/>
      <c r="O200" s="19"/>
      <c r="P200" s="19"/>
      <c r="Q200" s="5"/>
      <c r="R200" s="19"/>
      <c r="S200" s="5"/>
      <c r="T200" s="20"/>
      <c r="U200" s="20"/>
      <c r="V200" s="29"/>
      <c r="W200" s="28"/>
      <c r="X200" s="19"/>
      <c r="Y200" s="19"/>
      <c r="Z200" s="5"/>
      <c r="AA200" s="19"/>
      <c r="AB200" s="5"/>
      <c r="AC200" s="5"/>
      <c r="AD200" s="5"/>
      <c r="AE200" s="5"/>
      <c r="AF200" s="30"/>
      <c r="AG200" s="30"/>
      <c r="AH200" s="30"/>
      <c r="AI200" s="30"/>
      <c r="AJ200" s="30"/>
      <c r="AK200" s="30"/>
      <c r="AL200" s="28"/>
      <c r="AM200" s="5"/>
      <c r="AN200" s="19"/>
      <c r="AO200" s="19"/>
      <c r="AP200" s="5"/>
      <c r="AQ200" s="5"/>
      <c r="AR200" s="5"/>
      <c r="AS200" s="5"/>
      <c r="AT200" s="5"/>
      <c r="AU200" s="19"/>
      <c r="AV200" s="19"/>
      <c r="AW200" s="5"/>
      <c r="AX200" s="5"/>
      <c r="AY200" s="19"/>
      <c r="AZ200" s="30"/>
      <c r="BA200" s="5"/>
      <c r="BB200" s="31" t="str">
        <f aca="false">IF(OR($T200="",$M200=""),"",$T200-$M200)</f>
        <v/>
      </c>
      <c r="BC200" s="32" t="str">
        <f aca="false">IF(OR($T200="",$M200="",$M200=0),"",($T200-$M200)/$M200)</f>
        <v/>
      </c>
      <c r="BD200" s="31" t="str">
        <f aca="false">IF(OR($U200="",$M200=""),"",$U200-$M200)</f>
        <v/>
      </c>
      <c r="BE200" s="32" t="str">
        <f aca="false">IF(OR($U200="",$M200="",$M200=0),"",($U200-$M200)/$M200)</f>
        <v/>
      </c>
      <c r="BF200" s="32" t="str">
        <f aca="false">IF(OR($U200="",$J200="",$J200=0),"",($U200-$J200)/$J200)</f>
        <v/>
      </c>
      <c r="BG200" s="32" t="str">
        <f aca="false">IF(OR($M200="",$K200="",$K200=0),"",($M200-$K200)/$K200)</f>
        <v/>
      </c>
      <c r="BH200" s="32" t="str">
        <f aca="false">IF(OR($W200="",$N200="",$N200=0),"",($W200-$N200)/$N200)</f>
        <v/>
      </c>
      <c r="BI200" s="33" t="str">
        <f aca="false">IF(OR($O200="",$X200=""),"",$O200-$X200)</f>
        <v/>
      </c>
      <c r="BJ200" s="33" t="str">
        <f aca="false">IF(OR($P200="",$Y200=""),"",$P200-$Y200)</f>
        <v/>
      </c>
      <c r="BK200" s="34" t="str">
        <f aca="false">IF(OR($AN200="",$AO200="",$AN200=0),"",$AO200/$AN200)</f>
        <v/>
      </c>
      <c r="BL200" s="34" t="str">
        <f aca="false">IF(OR($AU200="",$AV200="",$AU200=0),"",$AV200/$AU200)</f>
        <v/>
      </c>
      <c r="BM200" s="7" t="str">
        <f aca="false">IF($Z200="","",IF(AND($Z200="Y",$AB200&lt;&gt;"N",$AC200&lt;&gt;"Y"),"Y","N"))</f>
        <v/>
      </c>
      <c r="BN200" s="7" t="str">
        <f aca="false">IF($AH200="","",IF($Z200&lt;&gt;"Y","undefined",IF($AH200&lt;=1,"Y","N")))</f>
        <v/>
      </c>
      <c r="BO200" s="7" t="str">
        <f aca="false">IF($AH200="","",IF($Z200&lt;&gt;"Y","undefined",IF($AH200&lt;=10,"Y","N")))</f>
        <v/>
      </c>
      <c r="BP200" s="7" t="str">
        <f aca="false">IF($AH200="","",IF($Z200&lt;&gt;"Y","undefined",IF($AH200&lt;=100,"Y","N")))</f>
        <v/>
      </c>
    </row>
    <row r="201" customFormat="false" ht="15" hidden="false" customHeight="false" outlineLevel="0" collapsed="false">
      <c r="A201" s="7" t="str">
        <f aca="false">IF($B201="","",$B201&amp;"|"&amp;$C201&amp;"|"&amp;$F201)</f>
        <v/>
      </c>
      <c r="B201" s="5"/>
      <c r="C201" s="5"/>
      <c r="D201" s="5"/>
      <c r="E201" s="5"/>
      <c r="F201" s="5"/>
      <c r="G201" s="5"/>
      <c r="H201" s="5"/>
      <c r="I201" s="5"/>
      <c r="J201" s="20"/>
      <c r="K201" s="20"/>
      <c r="L201" s="28"/>
      <c r="M201" s="20"/>
      <c r="N201" s="28"/>
      <c r="O201" s="19"/>
      <c r="P201" s="19"/>
      <c r="Q201" s="5"/>
      <c r="R201" s="19"/>
      <c r="S201" s="5"/>
      <c r="T201" s="20"/>
      <c r="U201" s="20"/>
      <c r="V201" s="29"/>
      <c r="W201" s="28"/>
      <c r="X201" s="19"/>
      <c r="Y201" s="19"/>
      <c r="Z201" s="5"/>
      <c r="AA201" s="19"/>
      <c r="AB201" s="5"/>
      <c r="AC201" s="5"/>
      <c r="AD201" s="5"/>
      <c r="AE201" s="5"/>
      <c r="AF201" s="30"/>
      <c r="AG201" s="30"/>
      <c r="AH201" s="30"/>
      <c r="AI201" s="30"/>
      <c r="AJ201" s="30"/>
      <c r="AK201" s="30"/>
      <c r="AL201" s="28"/>
      <c r="AM201" s="5"/>
      <c r="AN201" s="19"/>
      <c r="AO201" s="19"/>
      <c r="AP201" s="5"/>
      <c r="AQ201" s="5"/>
      <c r="AR201" s="5"/>
      <c r="AS201" s="5"/>
      <c r="AT201" s="5"/>
      <c r="AU201" s="19"/>
      <c r="AV201" s="19"/>
      <c r="AW201" s="5"/>
      <c r="AX201" s="5"/>
      <c r="AY201" s="19"/>
      <c r="AZ201" s="30"/>
      <c r="BA201" s="5"/>
      <c r="BB201" s="31" t="str">
        <f aca="false">IF(OR($T201="",$M201=""),"",$T201-$M201)</f>
        <v/>
      </c>
      <c r="BC201" s="32" t="str">
        <f aca="false">IF(OR($T201="",$M201="",$M201=0),"",($T201-$M201)/$M201)</f>
        <v/>
      </c>
      <c r="BD201" s="31" t="str">
        <f aca="false">IF(OR($U201="",$M201=""),"",$U201-$M201)</f>
        <v/>
      </c>
      <c r="BE201" s="32" t="str">
        <f aca="false">IF(OR($U201="",$M201="",$M201=0),"",($U201-$M201)/$M201)</f>
        <v/>
      </c>
      <c r="BF201" s="32" t="str">
        <f aca="false">IF(OR($U201="",$J201="",$J201=0),"",($U201-$J201)/$J201)</f>
        <v/>
      </c>
      <c r="BG201" s="32" t="str">
        <f aca="false">IF(OR($M201="",$K201="",$K201=0),"",($M201-$K201)/$K201)</f>
        <v/>
      </c>
      <c r="BH201" s="32" t="str">
        <f aca="false">IF(OR($W201="",$N201="",$N201=0),"",($W201-$N201)/$N201)</f>
        <v/>
      </c>
      <c r="BI201" s="33" t="str">
        <f aca="false">IF(OR($O201="",$X201=""),"",$O201-$X201)</f>
        <v/>
      </c>
      <c r="BJ201" s="33" t="str">
        <f aca="false">IF(OR($P201="",$Y201=""),"",$P201-$Y201)</f>
        <v/>
      </c>
      <c r="BK201" s="34" t="str">
        <f aca="false">IF(OR($AN201="",$AO201="",$AN201=0),"",$AO201/$AN201)</f>
        <v/>
      </c>
      <c r="BL201" s="34" t="str">
        <f aca="false">IF(OR($AU201="",$AV201="",$AU201=0),"",$AV201/$AU201)</f>
        <v/>
      </c>
      <c r="BM201" s="7" t="str">
        <f aca="false">IF($Z201="","",IF(AND($Z201="Y",$AB201&lt;&gt;"N",$AC201&lt;&gt;"Y"),"Y","N"))</f>
        <v/>
      </c>
      <c r="BN201" s="7" t="str">
        <f aca="false">IF($AH201="","",IF($Z201&lt;&gt;"Y","undefined",IF($AH201&lt;=1,"Y","N")))</f>
        <v/>
      </c>
      <c r="BO201" s="7" t="str">
        <f aca="false">IF($AH201="","",IF($Z201&lt;&gt;"Y","undefined",IF($AH201&lt;=10,"Y","N")))</f>
        <v/>
      </c>
      <c r="BP201" s="7" t="str">
        <f aca="false">IF($AH201="","",IF($Z201&lt;&gt;"Y","undefined",IF($AH201&lt;=100,"Y","N")))</f>
        <v/>
      </c>
    </row>
    <row r="202" customFormat="false" ht="15" hidden="false" customHeight="false" outlineLevel="0" collapsed="false">
      <c r="A202" s="7" t="str">
        <f aca="false">IF($B202="","",$B202&amp;"|"&amp;$C202&amp;"|"&amp;$F202)</f>
        <v/>
      </c>
      <c r="B202" s="5"/>
      <c r="C202" s="5"/>
      <c r="D202" s="5"/>
      <c r="E202" s="5"/>
      <c r="F202" s="5"/>
      <c r="G202" s="5"/>
      <c r="H202" s="5"/>
      <c r="I202" s="5"/>
      <c r="J202" s="20"/>
      <c r="K202" s="20"/>
      <c r="L202" s="28"/>
      <c r="M202" s="20"/>
      <c r="N202" s="28"/>
      <c r="O202" s="19"/>
      <c r="P202" s="19"/>
      <c r="Q202" s="5"/>
      <c r="R202" s="19"/>
      <c r="S202" s="5"/>
      <c r="T202" s="20"/>
      <c r="U202" s="20"/>
      <c r="V202" s="29"/>
      <c r="W202" s="28"/>
      <c r="X202" s="19"/>
      <c r="Y202" s="19"/>
      <c r="Z202" s="5"/>
      <c r="AA202" s="19"/>
      <c r="AB202" s="5"/>
      <c r="AC202" s="5"/>
      <c r="AD202" s="5"/>
      <c r="AE202" s="5"/>
      <c r="AF202" s="30"/>
      <c r="AG202" s="30"/>
      <c r="AH202" s="30"/>
      <c r="AI202" s="30"/>
      <c r="AJ202" s="30"/>
      <c r="AK202" s="30"/>
      <c r="AL202" s="28"/>
      <c r="AM202" s="5"/>
      <c r="AN202" s="19"/>
      <c r="AO202" s="19"/>
      <c r="AP202" s="5"/>
      <c r="AQ202" s="5"/>
      <c r="AR202" s="5"/>
      <c r="AS202" s="5"/>
      <c r="AT202" s="5"/>
      <c r="AU202" s="19"/>
      <c r="AV202" s="19"/>
      <c r="AW202" s="5"/>
      <c r="AX202" s="5"/>
      <c r="AY202" s="19"/>
      <c r="AZ202" s="30"/>
      <c r="BA202" s="5"/>
      <c r="BB202" s="31" t="str">
        <f aca="false">IF(OR($T202="",$M202=""),"",$T202-$M202)</f>
        <v/>
      </c>
      <c r="BC202" s="32" t="str">
        <f aca="false">IF(OR($T202="",$M202="",$M202=0),"",($T202-$M202)/$M202)</f>
        <v/>
      </c>
      <c r="BD202" s="31" t="str">
        <f aca="false">IF(OR($U202="",$M202=""),"",$U202-$M202)</f>
        <v/>
      </c>
      <c r="BE202" s="32" t="str">
        <f aca="false">IF(OR($U202="",$M202="",$M202=0),"",($U202-$M202)/$M202)</f>
        <v/>
      </c>
      <c r="BF202" s="32" t="str">
        <f aca="false">IF(OR($U202="",$J202="",$J202=0),"",($U202-$J202)/$J202)</f>
        <v/>
      </c>
      <c r="BG202" s="32" t="str">
        <f aca="false">IF(OR($M202="",$K202="",$K202=0),"",($M202-$K202)/$K202)</f>
        <v/>
      </c>
      <c r="BH202" s="32" t="str">
        <f aca="false">IF(OR($W202="",$N202="",$N202=0),"",($W202-$N202)/$N202)</f>
        <v/>
      </c>
      <c r="BI202" s="33" t="str">
        <f aca="false">IF(OR($O202="",$X202=""),"",$O202-$X202)</f>
        <v/>
      </c>
      <c r="BJ202" s="33" t="str">
        <f aca="false">IF(OR($P202="",$Y202=""),"",$P202-$Y202)</f>
        <v/>
      </c>
      <c r="BK202" s="34" t="str">
        <f aca="false">IF(OR($AN202="",$AO202="",$AN202=0),"",$AO202/$AN202)</f>
        <v/>
      </c>
      <c r="BL202" s="34" t="str">
        <f aca="false">IF(OR($AU202="",$AV202="",$AU202=0),"",$AV202/$AU202)</f>
        <v/>
      </c>
      <c r="BM202" s="7" t="str">
        <f aca="false">IF($Z202="","",IF(AND($Z202="Y",$AB202&lt;&gt;"N",$AC202&lt;&gt;"Y"),"Y","N"))</f>
        <v/>
      </c>
      <c r="BN202" s="7" t="str">
        <f aca="false">IF($AH202="","",IF($Z202&lt;&gt;"Y","undefined",IF($AH202&lt;=1,"Y","N")))</f>
        <v/>
      </c>
      <c r="BO202" s="7" t="str">
        <f aca="false">IF($AH202="","",IF($Z202&lt;&gt;"Y","undefined",IF($AH202&lt;=10,"Y","N")))</f>
        <v/>
      </c>
      <c r="BP202" s="7" t="str">
        <f aca="false">IF($AH202="","",IF($Z202&lt;&gt;"Y","undefined",IF($AH202&lt;=100,"Y","N")))</f>
        <v/>
      </c>
    </row>
    <row r="203" customFormat="false" ht="15" hidden="false" customHeight="false" outlineLevel="0" collapsed="false">
      <c r="A203" s="7" t="str">
        <f aca="false">IF($B203="","",$B203&amp;"|"&amp;$C203&amp;"|"&amp;$F203)</f>
        <v/>
      </c>
      <c r="B203" s="5"/>
      <c r="C203" s="5"/>
      <c r="D203" s="5"/>
      <c r="E203" s="5"/>
      <c r="F203" s="5"/>
      <c r="G203" s="5"/>
      <c r="H203" s="5"/>
      <c r="I203" s="5"/>
      <c r="J203" s="20"/>
      <c r="K203" s="20"/>
      <c r="L203" s="28"/>
      <c r="M203" s="20"/>
      <c r="N203" s="28"/>
      <c r="O203" s="19"/>
      <c r="P203" s="19"/>
      <c r="Q203" s="5"/>
      <c r="R203" s="19"/>
      <c r="S203" s="5"/>
      <c r="T203" s="20"/>
      <c r="U203" s="20"/>
      <c r="V203" s="29"/>
      <c r="W203" s="28"/>
      <c r="X203" s="19"/>
      <c r="Y203" s="19"/>
      <c r="Z203" s="5"/>
      <c r="AA203" s="19"/>
      <c r="AB203" s="5"/>
      <c r="AC203" s="5"/>
      <c r="AD203" s="5"/>
      <c r="AE203" s="5"/>
      <c r="AF203" s="30"/>
      <c r="AG203" s="30"/>
      <c r="AH203" s="30"/>
      <c r="AI203" s="30"/>
      <c r="AJ203" s="30"/>
      <c r="AK203" s="30"/>
      <c r="AL203" s="28"/>
      <c r="AM203" s="5"/>
      <c r="AN203" s="19"/>
      <c r="AO203" s="19"/>
      <c r="AP203" s="5"/>
      <c r="AQ203" s="5"/>
      <c r="AR203" s="5"/>
      <c r="AS203" s="5"/>
      <c r="AT203" s="5"/>
      <c r="AU203" s="19"/>
      <c r="AV203" s="19"/>
      <c r="AW203" s="5"/>
      <c r="AX203" s="5"/>
      <c r="AY203" s="19"/>
      <c r="AZ203" s="30"/>
      <c r="BA203" s="5"/>
      <c r="BB203" s="31" t="str">
        <f aca="false">IF(OR($T203="",$M203=""),"",$T203-$M203)</f>
        <v/>
      </c>
      <c r="BC203" s="32" t="str">
        <f aca="false">IF(OR($T203="",$M203="",$M203=0),"",($T203-$M203)/$M203)</f>
        <v/>
      </c>
      <c r="BD203" s="31" t="str">
        <f aca="false">IF(OR($U203="",$M203=""),"",$U203-$M203)</f>
        <v/>
      </c>
      <c r="BE203" s="32" t="str">
        <f aca="false">IF(OR($U203="",$M203="",$M203=0),"",($U203-$M203)/$M203)</f>
        <v/>
      </c>
      <c r="BF203" s="32" t="str">
        <f aca="false">IF(OR($U203="",$J203="",$J203=0),"",($U203-$J203)/$J203)</f>
        <v/>
      </c>
      <c r="BG203" s="32" t="str">
        <f aca="false">IF(OR($M203="",$K203="",$K203=0),"",($M203-$K203)/$K203)</f>
        <v/>
      </c>
      <c r="BH203" s="32" t="str">
        <f aca="false">IF(OR($W203="",$N203="",$N203=0),"",($W203-$N203)/$N203)</f>
        <v/>
      </c>
      <c r="BI203" s="33" t="str">
        <f aca="false">IF(OR($O203="",$X203=""),"",$O203-$X203)</f>
        <v/>
      </c>
      <c r="BJ203" s="33" t="str">
        <f aca="false">IF(OR($P203="",$Y203=""),"",$P203-$Y203)</f>
        <v/>
      </c>
      <c r="BK203" s="34" t="str">
        <f aca="false">IF(OR($AN203="",$AO203="",$AN203=0),"",$AO203/$AN203)</f>
        <v/>
      </c>
      <c r="BL203" s="34" t="str">
        <f aca="false">IF(OR($AU203="",$AV203="",$AU203=0),"",$AV203/$AU203)</f>
        <v/>
      </c>
      <c r="BM203" s="7" t="str">
        <f aca="false">IF($Z203="","",IF(AND($Z203="Y",$AB203&lt;&gt;"N",$AC203&lt;&gt;"Y"),"Y","N"))</f>
        <v/>
      </c>
      <c r="BN203" s="7" t="str">
        <f aca="false">IF($AH203="","",IF($Z203&lt;&gt;"Y","undefined",IF($AH203&lt;=1,"Y","N")))</f>
        <v/>
      </c>
      <c r="BO203" s="7" t="str">
        <f aca="false">IF($AH203="","",IF($Z203&lt;&gt;"Y","undefined",IF($AH203&lt;=10,"Y","N")))</f>
        <v/>
      </c>
      <c r="BP203" s="7" t="str">
        <f aca="false">IF($AH203="","",IF($Z203&lt;&gt;"Y","undefined",IF($AH203&lt;=100,"Y","N")))</f>
        <v/>
      </c>
    </row>
    <row r="204" customFormat="false" ht="15" hidden="false" customHeight="false" outlineLevel="0" collapsed="false">
      <c r="A204" s="7" t="str">
        <f aca="false">IF($B204="","",$B204&amp;"|"&amp;$C204&amp;"|"&amp;$F204)</f>
        <v/>
      </c>
      <c r="B204" s="5"/>
      <c r="C204" s="5"/>
      <c r="D204" s="5"/>
      <c r="E204" s="5"/>
      <c r="F204" s="5"/>
      <c r="G204" s="5"/>
      <c r="H204" s="5"/>
      <c r="I204" s="5"/>
      <c r="J204" s="20"/>
      <c r="K204" s="20"/>
      <c r="L204" s="28"/>
      <c r="M204" s="20"/>
      <c r="N204" s="28"/>
      <c r="O204" s="19"/>
      <c r="P204" s="19"/>
      <c r="Q204" s="5"/>
      <c r="R204" s="19"/>
      <c r="S204" s="5"/>
      <c r="T204" s="20"/>
      <c r="U204" s="20"/>
      <c r="V204" s="29"/>
      <c r="W204" s="28"/>
      <c r="X204" s="19"/>
      <c r="Y204" s="19"/>
      <c r="Z204" s="5"/>
      <c r="AA204" s="19"/>
      <c r="AB204" s="5"/>
      <c r="AC204" s="5"/>
      <c r="AD204" s="5"/>
      <c r="AE204" s="5"/>
      <c r="AF204" s="30"/>
      <c r="AG204" s="30"/>
      <c r="AH204" s="30"/>
      <c r="AI204" s="30"/>
      <c r="AJ204" s="30"/>
      <c r="AK204" s="30"/>
      <c r="AL204" s="28"/>
      <c r="AM204" s="5"/>
      <c r="AN204" s="19"/>
      <c r="AO204" s="19"/>
      <c r="AP204" s="5"/>
      <c r="AQ204" s="5"/>
      <c r="AR204" s="5"/>
      <c r="AS204" s="5"/>
      <c r="AT204" s="5"/>
      <c r="AU204" s="19"/>
      <c r="AV204" s="19"/>
      <c r="AW204" s="5"/>
      <c r="AX204" s="5"/>
      <c r="AY204" s="19"/>
      <c r="AZ204" s="30"/>
      <c r="BA204" s="5"/>
      <c r="BB204" s="31" t="str">
        <f aca="false">IF(OR($T204="",$M204=""),"",$T204-$M204)</f>
        <v/>
      </c>
      <c r="BC204" s="32" t="str">
        <f aca="false">IF(OR($T204="",$M204="",$M204=0),"",($T204-$M204)/$M204)</f>
        <v/>
      </c>
      <c r="BD204" s="31" t="str">
        <f aca="false">IF(OR($U204="",$M204=""),"",$U204-$M204)</f>
        <v/>
      </c>
      <c r="BE204" s="32" t="str">
        <f aca="false">IF(OR($U204="",$M204="",$M204=0),"",($U204-$M204)/$M204)</f>
        <v/>
      </c>
      <c r="BF204" s="32" t="str">
        <f aca="false">IF(OR($U204="",$J204="",$J204=0),"",($U204-$J204)/$J204)</f>
        <v/>
      </c>
      <c r="BG204" s="32" t="str">
        <f aca="false">IF(OR($M204="",$K204="",$K204=0),"",($M204-$K204)/$K204)</f>
        <v/>
      </c>
      <c r="BH204" s="32" t="str">
        <f aca="false">IF(OR($W204="",$N204="",$N204=0),"",($W204-$N204)/$N204)</f>
        <v/>
      </c>
      <c r="BI204" s="33" t="str">
        <f aca="false">IF(OR($O204="",$X204=""),"",$O204-$X204)</f>
        <v/>
      </c>
      <c r="BJ204" s="33" t="str">
        <f aca="false">IF(OR($P204="",$Y204=""),"",$P204-$Y204)</f>
        <v/>
      </c>
      <c r="BK204" s="34" t="str">
        <f aca="false">IF(OR($AN204="",$AO204="",$AN204=0),"",$AO204/$AN204)</f>
        <v/>
      </c>
      <c r="BL204" s="34" t="str">
        <f aca="false">IF(OR($AU204="",$AV204="",$AU204=0),"",$AV204/$AU204)</f>
        <v/>
      </c>
      <c r="BM204" s="7" t="str">
        <f aca="false">IF($Z204="","",IF(AND($Z204="Y",$AB204&lt;&gt;"N",$AC204&lt;&gt;"Y"),"Y","N"))</f>
        <v/>
      </c>
      <c r="BN204" s="7" t="str">
        <f aca="false">IF($AH204="","",IF($Z204&lt;&gt;"Y","undefined",IF($AH204&lt;=1,"Y","N")))</f>
        <v/>
      </c>
      <c r="BO204" s="7" t="str">
        <f aca="false">IF($AH204="","",IF($Z204&lt;&gt;"Y","undefined",IF($AH204&lt;=10,"Y","N")))</f>
        <v/>
      </c>
      <c r="BP204" s="7" t="str">
        <f aca="false">IF($AH204="","",IF($Z204&lt;&gt;"Y","undefined",IF($AH204&lt;=100,"Y","N")))</f>
        <v/>
      </c>
    </row>
    <row r="205" customFormat="false" ht="15" hidden="false" customHeight="false" outlineLevel="0" collapsed="false">
      <c r="A205" s="7" t="str">
        <f aca="false">IF($B205="","",$B205&amp;"|"&amp;$C205&amp;"|"&amp;$F205)</f>
        <v/>
      </c>
      <c r="B205" s="5"/>
      <c r="C205" s="5"/>
      <c r="D205" s="5"/>
      <c r="E205" s="5"/>
      <c r="F205" s="5"/>
      <c r="G205" s="5"/>
      <c r="H205" s="5"/>
      <c r="I205" s="5"/>
      <c r="J205" s="20"/>
      <c r="K205" s="20"/>
      <c r="L205" s="28"/>
      <c r="M205" s="20"/>
      <c r="N205" s="28"/>
      <c r="O205" s="19"/>
      <c r="P205" s="19"/>
      <c r="Q205" s="5"/>
      <c r="R205" s="19"/>
      <c r="S205" s="5"/>
      <c r="T205" s="20"/>
      <c r="U205" s="20"/>
      <c r="V205" s="29"/>
      <c r="W205" s="28"/>
      <c r="X205" s="19"/>
      <c r="Y205" s="19"/>
      <c r="Z205" s="5"/>
      <c r="AA205" s="19"/>
      <c r="AB205" s="5"/>
      <c r="AC205" s="5"/>
      <c r="AD205" s="5"/>
      <c r="AE205" s="5"/>
      <c r="AF205" s="30"/>
      <c r="AG205" s="30"/>
      <c r="AH205" s="30"/>
      <c r="AI205" s="30"/>
      <c r="AJ205" s="30"/>
      <c r="AK205" s="30"/>
      <c r="AL205" s="28"/>
      <c r="AM205" s="5"/>
      <c r="AN205" s="19"/>
      <c r="AO205" s="19"/>
      <c r="AP205" s="5"/>
      <c r="AQ205" s="5"/>
      <c r="AR205" s="5"/>
      <c r="AS205" s="5"/>
      <c r="AT205" s="5"/>
      <c r="AU205" s="19"/>
      <c r="AV205" s="19"/>
      <c r="AW205" s="5"/>
      <c r="AX205" s="5"/>
      <c r="AY205" s="19"/>
      <c r="AZ205" s="30"/>
      <c r="BA205" s="5"/>
      <c r="BB205" s="31" t="str">
        <f aca="false">IF(OR($T205="",$M205=""),"",$T205-$M205)</f>
        <v/>
      </c>
      <c r="BC205" s="32" t="str">
        <f aca="false">IF(OR($T205="",$M205="",$M205=0),"",($T205-$M205)/$M205)</f>
        <v/>
      </c>
      <c r="BD205" s="31" t="str">
        <f aca="false">IF(OR($U205="",$M205=""),"",$U205-$M205)</f>
        <v/>
      </c>
      <c r="BE205" s="32" t="str">
        <f aca="false">IF(OR($U205="",$M205="",$M205=0),"",($U205-$M205)/$M205)</f>
        <v/>
      </c>
      <c r="BF205" s="32" t="str">
        <f aca="false">IF(OR($U205="",$J205="",$J205=0),"",($U205-$J205)/$J205)</f>
        <v/>
      </c>
      <c r="BG205" s="32" t="str">
        <f aca="false">IF(OR($M205="",$K205="",$K205=0),"",($M205-$K205)/$K205)</f>
        <v/>
      </c>
      <c r="BH205" s="32" t="str">
        <f aca="false">IF(OR($W205="",$N205="",$N205=0),"",($W205-$N205)/$N205)</f>
        <v/>
      </c>
      <c r="BI205" s="33" t="str">
        <f aca="false">IF(OR($O205="",$X205=""),"",$O205-$X205)</f>
        <v/>
      </c>
      <c r="BJ205" s="33" t="str">
        <f aca="false">IF(OR($P205="",$Y205=""),"",$P205-$Y205)</f>
        <v/>
      </c>
      <c r="BK205" s="34" t="str">
        <f aca="false">IF(OR($AN205="",$AO205="",$AN205=0),"",$AO205/$AN205)</f>
        <v/>
      </c>
      <c r="BL205" s="34" t="str">
        <f aca="false">IF(OR($AU205="",$AV205="",$AU205=0),"",$AV205/$AU205)</f>
        <v/>
      </c>
      <c r="BM205" s="7" t="str">
        <f aca="false">IF($Z205="","",IF(AND($Z205="Y",$AB205&lt;&gt;"N",$AC205&lt;&gt;"Y"),"Y","N"))</f>
        <v/>
      </c>
      <c r="BN205" s="7" t="str">
        <f aca="false">IF($AH205="","",IF($Z205&lt;&gt;"Y","undefined",IF($AH205&lt;=1,"Y","N")))</f>
        <v/>
      </c>
      <c r="BO205" s="7" t="str">
        <f aca="false">IF($AH205="","",IF($Z205&lt;&gt;"Y","undefined",IF($AH205&lt;=10,"Y","N")))</f>
        <v/>
      </c>
      <c r="BP205" s="7" t="str">
        <f aca="false">IF($AH205="","",IF($Z205&lt;&gt;"Y","undefined",IF($AH205&lt;=100,"Y","N")))</f>
        <v/>
      </c>
    </row>
    <row r="206" customFormat="false" ht="15" hidden="false" customHeight="false" outlineLevel="0" collapsed="false">
      <c r="A206" s="7" t="str">
        <f aca="false">IF($B206="","",$B206&amp;"|"&amp;$C206&amp;"|"&amp;$F206)</f>
        <v/>
      </c>
      <c r="B206" s="5"/>
      <c r="C206" s="5"/>
      <c r="D206" s="5"/>
      <c r="E206" s="5"/>
      <c r="F206" s="5"/>
      <c r="G206" s="5"/>
      <c r="H206" s="5"/>
      <c r="I206" s="5"/>
      <c r="J206" s="20"/>
      <c r="K206" s="20"/>
      <c r="L206" s="28"/>
      <c r="M206" s="20"/>
      <c r="N206" s="28"/>
      <c r="O206" s="19"/>
      <c r="P206" s="19"/>
      <c r="Q206" s="5"/>
      <c r="R206" s="19"/>
      <c r="S206" s="5"/>
      <c r="T206" s="20"/>
      <c r="U206" s="20"/>
      <c r="V206" s="29"/>
      <c r="W206" s="28"/>
      <c r="X206" s="19"/>
      <c r="Y206" s="19"/>
      <c r="Z206" s="5"/>
      <c r="AA206" s="19"/>
      <c r="AB206" s="5"/>
      <c r="AC206" s="5"/>
      <c r="AD206" s="5"/>
      <c r="AE206" s="5"/>
      <c r="AF206" s="30"/>
      <c r="AG206" s="30"/>
      <c r="AH206" s="30"/>
      <c r="AI206" s="30"/>
      <c r="AJ206" s="30"/>
      <c r="AK206" s="30"/>
      <c r="AL206" s="28"/>
      <c r="AM206" s="5"/>
      <c r="AN206" s="19"/>
      <c r="AO206" s="19"/>
      <c r="AP206" s="5"/>
      <c r="AQ206" s="5"/>
      <c r="AR206" s="5"/>
      <c r="AS206" s="5"/>
      <c r="AT206" s="5"/>
      <c r="AU206" s="19"/>
      <c r="AV206" s="19"/>
      <c r="AW206" s="5"/>
      <c r="AX206" s="5"/>
      <c r="AY206" s="19"/>
      <c r="AZ206" s="30"/>
      <c r="BA206" s="5"/>
      <c r="BB206" s="31" t="str">
        <f aca="false">IF(OR($T206="",$M206=""),"",$T206-$M206)</f>
        <v/>
      </c>
      <c r="BC206" s="32" t="str">
        <f aca="false">IF(OR($T206="",$M206="",$M206=0),"",($T206-$M206)/$M206)</f>
        <v/>
      </c>
      <c r="BD206" s="31" t="str">
        <f aca="false">IF(OR($U206="",$M206=""),"",$U206-$M206)</f>
        <v/>
      </c>
      <c r="BE206" s="32" t="str">
        <f aca="false">IF(OR($U206="",$M206="",$M206=0),"",($U206-$M206)/$M206)</f>
        <v/>
      </c>
      <c r="BF206" s="32" t="str">
        <f aca="false">IF(OR($U206="",$J206="",$J206=0),"",($U206-$J206)/$J206)</f>
        <v/>
      </c>
      <c r="BG206" s="32" t="str">
        <f aca="false">IF(OR($M206="",$K206="",$K206=0),"",($M206-$K206)/$K206)</f>
        <v/>
      </c>
      <c r="BH206" s="32" t="str">
        <f aca="false">IF(OR($W206="",$N206="",$N206=0),"",($W206-$N206)/$N206)</f>
        <v/>
      </c>
      <c r="BI206" s="33" t="str">
        <f aca="false">IF(OR($O206="",$X206=""),"",$O206-$X206)</f>
        <v/>
      </c>
      <c r="BJ206" s="33" t="str">
        <f aca="false">IF(OR($P206="",$Y206=""),"",$P206-$Y206)</f>
        <v/>
      </c>
      <c r="BK206" s="34" t="str">
        <f aca="false">IF(OR($AN206="",$AO206="",$AN206=0),"",$AO206/$AN206)</f>
        <v/>
      </c>
      <c r="BL206" s="34" t="str">
        <f aca="false">IF(OR($AU206="",$AV206="",$AU206=0),"",$AV206/$AU206)</f>
        <v/>
      </c>
      <c r="BM206" s="7" t="str">
        <f aca="false">IF($Z206="","",IF(AND($Z206="Y",$AB206&lt;&gt;"N",$AC206&lt;&gt;"Y"),"Y","N"))</f>
        <v/>
      </c>
      <c r="BN206" s="7" t="str">
        <f aca="false">IF($AH206="","",IF($Z206&lt;&gt;"Y","undefined",IF($AH206&lt;=1,"Y","N")))</f>
        <v/>
      </c>
      <c r="BO206" s="7" t="str">
        <f aca="false">IF($AH206="","",IF($Z206&lt;&gt;"Y","undefined",IF($AH206&lt;=10,"Y","N")))</f>
        <v/>
      </c>
      <c r="BP206" s="7" t="str">
        <f aca="false">IF($AH206="","",IF($Z206&lt;&gt;"Y","undefined",IF($AH206&lt;=100,"Y","N")))</f>
        <v/>
      </c>
    </row>
    <row r="207" customFormat="false" ht="15" hidden="false" customHeight="false" outlineLevel="0" collapsed="false">
      <c r="A207" s="7" t="str">
        <f aca="false">IF($B207="","",$B207&amp;"|"&amp;$C207&amp;"|"&amp;$F207)</f>
        <v/>
      </c>
      <c r="B207" s="5"/>
      <c r="C207" s="5"/>
      <c r="D207" s="5"/>
      <c r="E207" s="5"/>
      <c r="F207" s="5"/>
      <c r="G207" s="5"/>
      <c r="H207" s="5"/>
      <c r="I207" s="5"/>
      <c r="J207" s="20"/>
      <c r="K207" s="20"/>
      <c r="L207" s="28"/>
      <c r="M207" s="20"/>
      <c r="N207" s="28"/>
      <c r="O207" s="19"/>
      <c r="P207" s="19"/>
      <c r="Q207" s="5"/>
      <c r="R207" s="19"/>
      <c r="S207" s="5"/>
      <c r="T207" s="20"/>
      <c r="U207" s="20"/>
      <c r="V207" s="29"/>
      <c r="W207" s="28"/>
      <c r="X207" s="19"/>
      <c r="Y207" s="19"/>
      <c r="Z207" s="5"/>
      <c r="AA207" s="19"/>
      <c r="AB207" s="5"/>
      <c r="AC207" s="5"/>
      <c r="AD207" s="5"/>
      <c r="AE207" s="5"/>
      <c r="AF207" s="30"/>
      <c r="AG207" s="30"/>
      <c r="AH207" s="30"/>
      <c r="AI207" s="30"/>
      <c r="AJ207" s="30"/>
      <c r="AK207" s="30"/>
      <c r="AL207" s="28"/>
      <c r="AM207" s="5"/>
      <c r="AN207" s="19"/>
      <c r="AO207" s="19"/>
      <c r="AP207" s="5"/>
      <c r="AQ207" s="5"/>
      <c r="AR207" s="5"/>
      <c r="AS207" s="5"/>
      <c r="AT207" s="5"/>
      <c r="AU207" s="19"/>
      <c r="AV207" s="19"/>
      <c r="AW207" s="5"/>
      <c r="AX207" s="5"/>
      <c r="AY207" s="19"/>
      <c r="AZ207" s="30"/>
      <c r="BA207" s="5"/>
      <c r="BB207" s="31" t="str">
        <f aca="false">IF(OR($T207="",$M207=""),"",$T207-$M207)</f>
        <v/>
      </c>
      <c r="BC207" s="32" t="str">
        <f aca="false">IF(OR($T207="",$M207="",$M207=0),"",($T207-$M207)/$M207)</f>
        <v/>
      </c>
      <c r="BD207" s="31" t="str">
        <f aca="false">IF(OR($U207="",$M207=""),"",$U207-$M207)</f>
        <v/>
      </c>
      <c r="BE207" s="32" t="str">
        <f aca="false">IF(OR($U207="",$M207="",$M207=0),"",($U207-$M207)/$M207)</f>
        <v/>
      </c>
      <c r="BF207" s="32" t="str">
        <f aca="false">IF(OR($U207="",$J207="",$J207=0),"",($U207-$J207)/$J207)</f>
        <v/>
      </c>
      <c r="BG207" s="32" t="str">
        <f aca="false">IF(OR($M207="",$K207="",$K207=0),"",($M207-$K207)/$K207)</f>
        <v/>
      </c>
      <c r="BH207" s="32" t="str">
        <f aca="false">IF(OR($W207="",$N207="",$N207=0),"",($W207-$N207)/$N207)</f>
        <v/>
      </c>
      <c r="BI207" s="33" t="str">
        <f aca="false">IF(OR($O207="",$X207=""),"",$O207-$X207)</f>
        <v/>
      </c>
      <c r="BJ207" s="33" t="str">
        <f aca="false">IF(OR($P207="",$Y207=""),"",$P207-$Y207)</f>
        <v/>
      </c>
      <c r="BK207" s="34" t="str">
        <f aca="false">IF(OR($AN207="",$AO207="",$AN207=0),"",$AO207/$AN207)</f>
        <v/>
      </c>
      <c r="BL207" s="34" t="str">
        <f aca="false">IF(OR($AU207="",$AV207="",$AU207=0),"",$AV207/$AU207)</f>
        <v/>
      </c>
      <c r="BM207" s="7" t="str">
        <f aca="false">IF($Z207="","",IF(AND($Z207="Y",$AB207&lt;&gt;"N",$AC207&lt;&gt;"Y"),"Y","N"))</f>
        <v/>
      </c>
      <c r="BN207" s="7" t="str">
        <f aca="false">IF($AH207="","",IF($Z207&lt;&gt;"Y","undefined",IF($AH207&lt;=1,"Y","N")))</f>
        <v/>
      </c>
      <c r="BO207" s="7" t="str">
        <f aca="false">IF($AH207="","",IF($Z207&lt;&gt;"Y","undefined",IF($AH207&lt;=10,"Y","N")))</f>
        <v/>
      </c>
      <c r="BP207" s="7" t="str">
        <f aca="false">IF($AH207="","",IF($Z207&lt;&gt;"Y","undefined",IF($AH207&lt;=100,"Y","N")))</f>
        <v/>
      </c>
    </row>
    <row r="208" customFormat="false" ht="15" hidden="false" customHeight="false" outlineLevel="0" collapsed="false">
      <c r="A208" s="7" t="str">
        <f aca="false">IF($B208="","",$B208&amp;"|"&amp;$C208&amp;"|"&amp;$F208)</f>
        <v/>
      </c>
      <c r="B208" s="5"/>
      <c r="C208" s="5"/>
      <c r="D208" s="5"/>
      <c r="E208" s="5"/>
      <c r="F208" s="5"/>
      <c r="G208" s="5"/>
      <c r="H208" s="5"/>
      <c r="I208" s="5"/>
      <c r="J208" s="20"/>
      <c r="K208" s="20"/>
      <c r="L208" s="28"/>
      <c r="M208" s="20"/>
      <c r="N208" s="28"/>
      <c r="O208" s="19"/>
      <c r="P208" s="19"/>
      <c r="Q208" s="5"/>
      <c r="R208" s="19"/>
      <c r="S208" s="5"/>
      <c r="T208" s="20"/>
      <c r="U208" s="20"/>
      <c r="V208" s="29"/>
      <c r="W208" s="28"/>
      <c r="X208" s="19"/>
      <c r="Y208" s="19"/>
      <c r="Z208" s="5"/>
      <c r="AA208" s="19"/>
      <c r="AB208" s="5"/>
      <c r="AC208" s="5"/>
      <c r="AD208" s="5"/>
      <c r="AE208" s="5"/>
      <c r="AF208" s="30"/>
      <c r="AG208" s="30"/>
      <c r="AH208" s="30"/>
      <c r="AI208" s="30"/>
      <c r="AJ208" s="30"/>
      <c r="AK208" s="30"/>
      <c r="AL208" s="28"/>
      <c r="AM208" s="5"/>
      <c r="AN208" s="19"/>
      <c r="AO208" s="19"/>
      <c r="AP208" s="5"/>
      <c r="AQ208" s="5"/>
      <c r="AR208" s="5"/>
      <c r="AS208" s="5"/>
      <c r="AT208" s="5"/>
      <c r="AU208" s="19"/>
      <c r="AV208" s="19"/>
      <c r="AW208" s="5"/>
      <c r="AX208" s="5"/>
      <c r="AY208" s="19"/>
      <c r="AZ208" s="30"/>
      <c r="BA208" s="5"/>
      <c r="BB208" s="31" t="str">
        <f aca="false">IF(OR($T208="",$M208=""),"",$T208-$M208)</f>
        <v/>
      </c>
      <c r="BC208" s="32" t="str">
        <f aca="false">IF(OR($T208="",$M208="",$M208=0),"",($T208-$M208)/$M208)</f>
        <v/>
      </c>
      <c r="BD208" s="31" t="str">
        <f aca="false">IF(OR($U208="",$M208=""),"",$U208-$M208)</f>
        <v/>
      </c>
      <c r="BE208" s="32" t="str">
        <f aca="false">IF(OR($U208="",$M208="",$M208=0),"",($U208-$M208)/$M208)</f>
        <v/>
      </c>
      <c r="BF208" s="32" t="str">
        <f aca="false">IF(OR($U208="",$J208="",$J208=0),"",($U208-$J208)/$J208)</f>
        <v/>
      </c>
      <c r="BG208" s="32" t="str">
        <f aca="false">IF(OR($M208="",$K208="",$K208=0),"",($M208-$K208)/$K208)</f>
        <v/>
      </c>
      <c r="BH208" s="32" t="str">
        <f aca="false">IF(OR($W208="",$N208="",$N208=0),"",($W208-$N208)/$N208)</f>
        <v/>
      </c>
      <c r="BI208" s="33" t="str">
        <f aca="false">IF(OR($O208="",$X208=""),"",$O208-$X208)</f>
        <v/>
      </c>
      <c r="BJ208" s="33" t="str">
        <f aca="false">IF(OR($P208="",$Y208=""),"",$P208-$Y208)</f>
        <v/>
      </c>
      <c r="BK208" s="34" t="str">
        <f aca="false">IF(OR($AN208="",$AO208="",$AN208=0),"",$AO208/$AN208)</f>
        <v/>
      </c>
      <c r="BL208" s="34" t="str">
        <f aca="false">IF(OR($AU208="",$AV208="",$AU208=0),"",$AV208/$AU208)</f>
        <v/>
      </c>
      <c r="BM208" s="7" t="str">
        <f aca="false">IF($Z208="","",IF(AND($Z208="Y",$AB208&lt;&gt;"N",$AC208&lt;&gt;"Y"),"Y","N"))</f>
        <v/>
      </c>
      <c r="BN208" s="7" t="str">
        <f aca="false">IF($AH208="","",IF($Z208&lt;&gt;"Y","undefined",IF($AH208&lt;=1,"Y","N")))</f>
        <v/>
      </c>
      <c r="BO208" s="7" t="str">
        <f aca="false">IF($AH208="","",IF($Z208&lt;&gt;"Y","undefined",IF($AH208&lt;=10,"Y","N")))</f>
        <v/>
      </c>
      <c r="BP208" s="7" t="str">
        <f aca="false">IF($AH208="","",IF($Z208&lt;&gt;"Y","undefined",IF($AH208&lt;=100,"Y","N")))</f>
        <v/>
      </c>
    </row>
    <row r="209" customFormat="false" ht="15" hidden="false" customHeight="false" outlineLevel="0" collapsed="false">
      <c r="A209" s="7" t="str">
        <f aca="false">IF($B209="","",$B209&amp;"|"&amp;$C209&amp;"|"&amp;$F209)</f>
        <v/>
      </c>
      <c r="B209" s="5"/>
      <c r="C209" s="5"/>
      <c r="D209" s="5"/>
      <c r="E209" s="5"/>
      <c r="F209" s="5"/>
      <c r="G209" s="5"/>
      <c r="H209" s="5"/>
      <c r="I209" s="5"/>
      <c r="J209" s="20"/>
      <c r="K209" s="20"/>
      <c r="L209" s="28"/>
      <c r="M209" s="20"/>
      <c r="N209" s="28"/>
      <c r="O209" s="19"/>
      <c r="P209" s="19"/>
      <c r="Q209" s="5"/>
      <c r="R209" s="19"/>
      <c r="S209" s="5"/>
      <c r="T209" s="20"/>
      <c r="U209" s="20"/>
      <c r="V209" s="29"/>
      <c r="W209" s="28"/>
      <c r="X209" s="19"/>
      <c r="Y209" s="19"/>
      <c r="Z209" s="5"/>
      <c r="AA209" s="19"/>
      <c r="AB209" s="5"/>
      <c r="AC209" s="5"/>
      <c r="AD209" s="5"/>
      <c r="AE209" s="5"/>
      <c r="AF209" s="30"/>
      <c r="AG209" s="30"/>
      <c r="AH209" s="30"/>
      <c r="AI209" s="30"/>
      <c r="AJ209" s="30"/>
      <c r="AK209" s="30"/>
      <c r="AL209" s="28"/>
      <c r="AM209" s="5"/>
      <c r="AN209" s="19"/>
      <c r="AO209" s="19"/>
      <c r="AP209" s="5"/>
      <c r="AQ209" s="5"/>
      <c r="AR209" s="5"/>
      <c r="AS209" s="5"/>
      <c r="AT209" s="5"/>
      <c r="AU209" s="19"/>
      <c r="AV209" s="19"/>
      <c r="AW209" s="5"/>
      <c r="AX209" s="5"/>
      <c r="AY209" s="19"/>
      <c r="AZ209" s="30"/>
      <c r="BA209" s="5"/>
      <c r="BB209" s="31" t="str">
        <f aca="false">IF(OR($T209="",$M209=""),"",$T209-$M209)</f>
        <v/>
      </c>
      <c r="BC209" s="32" t="str">
        <f aca="false">IF(OR($T209="",$M209="",$M209=0),"",($T209-$M209)/$M209)</f>
        <v/>
      </c>
      <c r="BD209" s="31" t="str">
        <f aca="false">IF(OR($U209="",$M209=""),"",$U209-$M209)</f>
        <v/>
      </c>
      <c r="BE209" s="32" t="str">
        <f aca="false">IF(OR($U209="",$M209="",$M209=0),"",($U209-$M209)/$M209)</f>
        <v/>
      </c>
      <c r="BF209" s="32" t="str">
        <f aca="false">IF(OR($U209="",$J209="",$J209=0),"",($U209-$J209)/$J209)</f>
        <v/>
      </c>
      <c r="BG209" s="32" t="str">
        <f aca="false">IF(OR($M209="",$K209="",$K209=0),"",($M209-$K209)/$K209)</f>
        <v/>
      </c>
      <c r="BH209" s="32" t="str">
        <f aca="false">IF(OR($W209="",$N209="",$N209=0),"",($W209-$N209)/$N209)</f>
        <v/>
      </c>
      <c r="BI209" s="33" t="str">
        <f aca="false">IF(OR($O209="",$X209=""),"",$O209-$X209)</f>
        <v/>
      </c>
      <c r="BJ209" s="33" t="str">
        <f aca="false">IF(OR($P209="",$Y209=""),"",$P209-$Y209)</f>
        <v/>
      </c>
      <c r="BK209" s="34" t="str">
        <f aca="false">IF(OR($AN209="",$AO209="",$AN209=0),"",$AO209/$AN209)</f>
        <v/>
      </c>
      <c r="BL209" s="34" t="str">
        <f aca="false">IF(OR($AU209="",$AV209="",$AU209=0),"",$AV209/$AU209)</f>
        <v/>
      </c>
      <c r="BM209" s="7" t="str">
        <f aca="false">IF($Z209="","",IF(AND($Z209="Y",$AB209&lt;&gt;"N",$AC209&lt;&gt;"Y"),"Y","N"))</f>
        <v/>
      </c>
      <c r="BN209" s="7" t="str">
        <f aca="false">IF($AH209="","",IF($Z209&lt;&gt;"Y","undefined",IF($AH209&lt;=1,"Y","N")))</f>
        <v/>
      </c>
      <c r="BO209" s="7" t="str">
        <f aca="false">IF($AH209="","",IF($Z209&lt;&gt;"Y","undefined",IF($AH209&lt;=10,"Y","N")))</f>
        <v/>
      </c>
      <c r="BP209" s="7" t="str">
        <f aca="false">IF($AH209="","",IF($Z209&lt;&gt;"Y","undefined",IF($AH209&lt;=100,"Y","N")))</f>
        <v/>
      </c>
    </row>
    <row r="210" customFormat="false" ht="15" hidden="false" customHeight="false" outlineLevel="0" collapsed="false">
      <c r="A210" s="7" t="str">
        <f aca="false">IF($B210="","",$B210&amp;"|"&amp;$C210&amp;"|"&amp;$F210)</f>
        <v/>
      </c>
      <c r="B210" s="5"/>
      <c r="C210" s="5"/>
      <c r="D210" s="5"/>
      <c r="E210" s="5"/>
      <c r="F210" s="5"/>
      <c r="G210" s="5"/>
      <c r="H210" s="5"/>
      <c r="I210" s="5"/>
      <c r="J210" s="20"/>
      <c r="K210" s="20"/>
      <c r="L210" s="28"/>
      <c r="M210" s="20"/>
      <c r="N210" s="28"/>
      <c r="O210" s="19"/>
      <c r="P210" s="19"/>
      <c r="Q210" s="5"/>
      <c r="R210" s="19"/>
      <c r="S210" s="5"/>
      <c r="T210" s="20"/>
      <c r="U210" s="20"/>
      <c r="V210" s="29"/>
      <c r="W210" s="28"/>
      <c r="X210" s="19"/>
      <c r="Y210" s="19"/>
      <c r="Z210" s="5"/>
      <c r="AA210" s="19"/>
      <c r="AB210" s="5"/>
      <c r="AC210" s="5"/>
      <c r="AD210" s="5"/>
      <c r="AE210" s="5"/>
      <c r="AF210" s="30"/>
      <c r="AG210" s="30"/>
      <c r="AH210" s="30"/>
      <c r="AI210" s="30"/>
      <c r="AJ210" s="30"/>
      <c r="AK210" s="30"/>
      <c r="AL210" s="28"/>
      <c r="AM210" s="5"/>
      <c r="AN210" s="19"/>
      <c r="AO210" s="19"/>
      <c r="AP210" s="5"/>
      <c r="AQ210" s="5"/>
      <c r="AR210" s="5"/>
      <c r="AS210" s="5"/>
      <c r="AT210" s="5"/>
      <c r="AU210" s="19"/>
      <c r="AV210" s="19"/>
      <c r="AW210" s="5"/>
      <c r="AX210" s="5"/>
      <c r="AY210" s="19"/>
      <c r="AZ210" s="30"/>
      <c r="BA210" s="5"/>
      <c r="BB210" s="31" t="str">
        <f aca="false">IF(OR($T210="",$M210=""),"",$T210-$M210)</f>
        <v/>
      </c>
      <c r="BC210" s="32" t="str">
        <f aca="false">IF(OR($T210="",$M210="",$M210=0),"",($T210-$M210)/$M210)</f>
        <v/>
      </c>
      <c r="BD210" s="31" t="str">
        <f aca="false">IF(OR($U210="",$M210=""),"",$U210-$M210)</f>
        <v/>
      </c>
      <c r="BE210" s="32" t="str">
        <f aca="false">IF(OR($U210="",$M210="",$M210=0),"",($U210-$M210)/$M210)</f>
        <v/>
      </c>
      <c r="BF210" s="32" t="str">
        <f aca="false">IF(OR($U210="",$J210="",$J210=0),"",($U210-$J210)/$J210)</f>
        <v/>
      </c>
      <c r="BG210" s="32" t="str">
        <f aca="false">IF(OR($M210="",$K210="",$K210=0),"",($M210-$K210)/$K210)</f>
        <v/>
      </c>
      <c r="BH210" s="32" t="str">
        <f aca="false">IF(OR($W210="",$N210="",$N210=0),"",($W210-$N210)/$N210)</f>
        <v/>
      </c>
      <c r="BI210" s="33" t="str">
        <f aca="false">IF(OR($O210="",$X210=""),"",$O210-$X210)</f>
        <v/>
      </c>
      <c r="BJ210" s="33" t="str">
        <f aca="false">IF(OR($P210="",$Y210=""),"",$P210-$Y210)</f>
        <v/>
      </c>
      <c r="BK210" s="34" t="str">
        <f aca="false">IF(OR($AN210="",$AO210="",$AN210=0),"",$AO210/$AN210)</f>
        <v/>
      </c>
      <c r="BL210" s="34" t="str">
        <f aca="false">IF(OR($AU210="",$AV210="",$AU210=0),"",$AV210/$AU210)</f>
        <v/>
      </c>
      <c r="BM210" s="7" t="str">
        <f aca="false">IF($Z210="","",IF(AND($Z210="Y",$AB210&lt;&gt;"N",$AC210&lt;&gt;"Y"),"Y","N"))</f>
        <v/>
      </c>
      <c r="BN210" s="7" t="str">
        <f aca="false">IF($AH210="","",IF($Z210&lt;&gt;"Y","undefined",IF($AH210&lt;=1,"Y","N")))</f>
        <v/>
      </c>
      <c r="BO210" s="7" t="str">
        <f aca="false">IF($AH210="","",IF($Z210&lt;&gt;"Y","undefined",IF($AH210&lt;=10,"Y","N")))</f>
        <v/>
      </c>
      <c r="BP210" s="7" t="str">
        <f aca="false">IF($AH210="","",IF($Z210&lt;&gt;"Y","undefined",IF($AH210&lt;=100,"Y","N")))</f>
        <v/>
      </c>
    </row>
    <row r="211" customFormat="false" ht="15" hidden="false" customHeight="false" outlineLevel="0" collapsed="false">
      <c r="A211" s="7" t="str">
        <f aca="false">IF($B211="","",$B211&amp;"|"&amp;$C211&amp;"|"&amp;$F211)</f>
        <v/>
      </c>
      <c r="B211" s="5"/>
      <c r="C211" s="5"/>
      <c r="D211" s="5"/>
      <c r="E211" s="5"/>
      <c r="F211" s="5"/>
      <c r="G211" s="5"/>
      <c r="H211" s="5"/>
      <c r="I211" s="5"/>
      <c r="J211" s="20"/>
      <c r="K211" s="20"/>
      <c r="L211" s="28"/>
      <c r="M211" s="20"/>
      <c r="N211" s="28"/>
      <c r="O211" s="19"/>
      <c r="P211" s="19"/>
      <c r="Q211" s="5"/>
      <c r="R211" s="19"/>
      <c r="S211" s="5"/>
      <c r="T211" s="20"/>
      <c r="U211" s="20"/>
      <c r="V211" s="29"/>
      <c r="W211" s="28"/>
      <c r="X211" s="19"/>
      <c r="Y211" s="19"/>
      <c r="Z211" s="5"/>
      <c r="AA211" s="19"/>
      <c r="AB211" s="5"/>
      <c r="AC211" s="5"/>
      <c r="AD211" s="5"/>
      <c r="AE211" s="5"/>
      <c r="AF211" s="30"/>
      <c r="AG211" s="30"/>
      <c r="AH211" s="30"/>
      <c r="AI211" s="30"/>
      <c r="AJ211" s="30"/>
      <c r="AK211" s="30"/>
      <c r="AL211" s="28"/>
      <c r="AM211" s="5"/>
      <c r="AN211" s="19"/>
      <c r="AO211" s="19"/>
      <c r="AP211" s="5"/>
      <c r="AQ211" s="5"/>
      <c r="AR211" s="5"/>
      <c r="AS211" s="5"/>
      <c r="AT211" s="5"/>
      <c r="AU211" s="19"/>
      <c r="AV211" s="19"/>
      <c r="AW211" s="5"/>
      <c r="AX211" s="5"/>
      <c r="AY211" s="19"/>
      <c r="AZ211" s="30"/>
      <c r="BA211" s="5"/>
      <c r="BB211" s="31" t="str">
        <f aca="false">IF(OR($T211="",$M211=""),"",$T211-$M211)</f>
        <v/>
      </c>
      <c r="BC211" s="32" t="str">
        <f aca="false">IF(OR($T211="",$M211="",$M211=0),"",($T211-$M211)/$M211)</f>
        <v/>
      </c>
      <c r="BD211" s="31" t="str">
        <f aca="false">IF(OR($U211="",$M211=""),"",$U211-$M211)</f>
        <v/>
      </c>
      <c r="BE211" s="32" t="str">
        <f aca="false">IF(OR($U211="",$M211="",$M211=0),"",($U211-$M211)/$M211)</f>
        <v/>
      </c>
      <c r="BF211" s="32" t="str">
        <f aca="false">IF(OR($U211="",$J211="",$J211=0),"",($U211-$J211)/$J211)</f>
        <v/>
      </c>
      <c r="BG211" s="32" t="str">
        <f aca="false">IF(OR($M211="",$K211="",$K211=0),"",($M211-$K211)/$K211)</f>
        <v/>
      </c>
      <c r="BH211" s="32" t="str">
        <f aca="false">IF(OR($W211="",$N211="",$N211=0),"",($W211-$N211)/$N211)</f>
        <v/>
      </c>
      <c r="BI211" s="33" t="str">
        <f aca="false">IF(OR($O211="",$X211=""),"",$O211-$X211)</f>
        <v/>
      </c>
      <c r="BJ211" s="33" t="str">
        <f aca="false">IF(OR($P211="",$Y211=""),"",$P211-$Y211)</f>
        <v/>
      </c>
      <c r="BK211" s="34" t="str">
        <f aca="false">IF(OR($AN211="",$AO211="",$AN211=0),"",$AO211/$AN211)</f>
        <v/>
      </c>
      <c r="BL211" s="34" t="str">
        <f aca="false">IF(OR($AU211="",$AV211="",$AU211=0),"",$AV211/$AU211)</f>
        <v/>
      </c>
      <c r="BM211" s="7" t="str">
        <f aca="false">IF($Z211="","",IF(AND($Z211="Y",$AB211&lt;&gt;"N",$AC211&lt;&gt;"Y"),"Y","N"))</f>
        <v/>
      </c>
      <c r="BN211" s="7" t="str">
        <f aca="false">IF($AH211="","",IF($Z211&lt;&gt;"Y","undefined",IF($AH211&lt;=1,"Y","N")))</f>
        <v/>
      </c>
      <c r="BO211" s="7" t="str">
        <f aca="false">IF($AH211="","",IF($Z211&lt;&gt;"Y","undefined",IF($AH211&lt;=10,"Y","N")))</f>
        <v/>
      </c>
      <c r="BP211" s="7" t="str">
        <f aca="false">IF($AH211="","",IF($Z211&lt;&gt;"Y","undefined",IF($AH211&lt;=100,"Y","N")))</f>
        <v/>
      </c>
    </row>
    <row r="212" customFormat="false" ht="15" hidden="false" customHeight="false" outlineLevel="0" collapsed="false">
      <c r="A212" s="7" t="str">
        <f aca="false">IF($B212="","",$B212&amp;"|"&amp;$C212&amp;"|"&amp;$F212)</f>
        <v/>
      </c>
      <c r="B212" s="5"/>
      <c r="C212" s="5"/>
      <c r="D212" s="5"/>
      <c r="E212" s="5"/>
      <c r="F212" s="5"/>
      <c r="G212" s="5"/>
      <c r="H212" s="5"/>
      <c r="I212" s="5"/>
      <c r="J212" s="20"/>
      <c r="K212" s="20"/>
      <c r="L212" s="28"/>
      <c r="M212" s="20"/>
      <c r="N212" s="28"/>
      <c r="O212" s="19"/>
      <c r="P212" s="19"/>
      <c r="Q212" s="5"/>
      <c r="R212" s="19"/>
      <c r="S212" s="5"/>
      <c r="T212" s="20"/>
      <c r="U212" s="20"/>
      <c r="V212" s="29"/>
      <c r="W212" s="28"/>
      <c r="X212" s="19"/>
      <c r="Y212" s="19"/>
      <c r="Z212" s="5"/>
      <c r="AA212" s="19"/>
      <c r="AB212" s="5"/>
      <c r="AC212" s="5"/>
      <c r="AD212" s="5"/>
      <c r="AE212" s="5"/>
      <c r="AF212" s="30"/>
      <c r="AG212" s="30"/>
      <c r="AH212" s="30"/>
      <c r="AI212" s="30"/>
      <c r="AJ212" s="30"/>
      <c r="AK212" s="30"/>
      <c r="AL212" s="28"/>
      <c r="AM212" s="5"/>
      <c r="AN212" s="19"/>
      <c r="AO212" s="19"/>
      <c r="AP212" s="5"/>
      <c r="AQ212" s="5"/>
      <c r="AR212" s="5"/>
      <c r="AS212" s="5"/>
      <c r="AT212" s="5"/>
      <c r="AU212" s="19"/>
      <c r="AV212" s="19"/>
      <c r="AW212" s="5"/>
      <c r="AX212" s="5"/>
      <c r="AY212" s="19"/>
      <c r="AZ212" s="30"/>
      <c r="BA212" s="5"/>
      <c r="BB212" s="31" t="str">
        <f aca="false">IF(OR($T212="",$M212=""),"",$T212-$M212)</f>
        <v/>
      </c>
      <c r="BC212" s="32" t="str">
        <f aca="false">IF(OR($T212="",$M212="",$M212=0),"",($T212-$M212)/$M212)</f>
        <v/>
      </c>
      <c r="BD212" s="31" t="str">
        <f aca="false">IF(OR($U212="",$M212=""),"",$U212-$M212)</f>
        <v/>
      </c>
      <c r="BE212" s="32" t="str">
        <f aca="false">IF(OR($U212="",$M212="",$M212=0),"",($U212-$M212)/$M212)</f>
        <v/>
      </c>
      <c r="BF212" s="32" t="str">
        <f aca="false">IF(OR($U212="",$J212="",$J212=0),"",($U212-$J212)/$J212)</f>
        <v/>
      </c>
      <c r="BG212" s="32" t="str">
        <f aca="false">IF(OR($M212="",$K212="",$K212=0),"",($M212-$K212)/$K212)</f>
        <v/>
      </c>
      <c r="BH212" s="32" t="str">
        <f aca="false">IF(OR($W212="",$N212="",$N212=0),"",($W212-$N212)/$N212)</f>
        <v/>
      </c>
      <c r="BI212" s="33" t="str">
        <f aca="false">IF(OR($O212="",$X212=""),"",$O212-$X212)</f>
        <v/>
      </c>
      <c r="BJ212" s="33" t="str">
        <f aca="false">IF(OR($P212="",$Y212=""),"",$P212-$Y212)</f>
        <v/>
      </c>
      <c r="BK212" s="34" t="str">
        <f aca="false">IF(OR($AN212="",$AO212="",$AN212=0),"",$AO212/$AN212)</f>
        <v/>
      </c>
      <c r="BL212" s="34" t="str">
        <f aca="false">IF(OR($AU212="",$AV212="",$AU212=0),"",$AV212/$AU212)</f>
        <v/>
      </c>
      <c r="BM212" s="7" t="str">
        <f aca="false">IF($Z212="","",IF(AND($Z212="Y",$AB212&lt;&gt;"N",$AC212&lt;&gt;"Y"),"Y","N"))</f>
        <v/>
      </c>
      <c r="BN212" s="7" t="str">
        <f aca="false">IF($AH212="","",IF($Z212&lt;&gt;"Y","undefined",IF($AH212&lt;=1,"Y","N")))</f>
        <v/>
      </c>
      <c r="BO212" s="7" t="str">
        <f aca="false">IF($AH212="","",IF($Z212&lt;&gt;"Y","undefined",IF($AH212&lt;=10,"Y","N")))</f>
        <v/>
      </c>
      <c r="BP212" s="7" t="str">
        <f aca="false">IF($AH212="","",IF($Z212&lt;&gt;"Y","undefined",IF($AH212&lt;=100,"Y","N")))</f>
        <v/>
      </c>
    </row>
    <row r="213" customFormat="false" ht="15" hidden="false" customHeight="false" outlineLevel="0" collapsed="false">
      <c r="A213" s="7" t="str">
        <f aca="false">IF($B213="","",$B213&amp;"|"&amp;$C213&amp;"|"&amp;$F213)</f>
        <v/>
      </c>
      <c r="B213" s="5"/>
      <c r="C213" s="5"/>
      <c r="D213" s="5"/>
      <c r="E213" s="5"/>
      <c r="F213" s="5"/>
      <c r="G213" s="5"/>
      <c r="H213" s="5"/>
      <c r="I213" s="5"/>
      <c r="J213" s="20"/>
      <c r="K213" s="20"/>
      <c r="L213" s="28"/>
      <c r="M213" s="20"/>
      <c r="N213" s="28"/>
      <c r="O213" s="19"/>
      <c r="P213" s="19"/>
      <c r="Q213" s="5"/>
      <c r="R213" s="19"/>
      <c r="S213" s="5"/>
      <c r="T213" s="20"/>
      <c r="U213" s="20"/>
      <c r="V213" s="29"/>
      <c r="W213" s="28"/>
      <c r="X213" s="19"/>
      <c r="Y213" s="19"/>
      <c r="Z213" s="5"/>
      <c r="AA213" s="19"/>
      <c r="AB213" s="5"/>
      <c r="AC213" s="5"/>
      <c r="AD213" s="5"/>
      <c r="AE213" s="5"/>
      <c r="AF213" s="30"/>
      <c r="AG213" s="30"/>
      <c r="AH213" s="30"/>
      <c r="AI213" s="30"/>
      <c r="AJ213" s="30"/>
      <c r="AK213" s="30"/>
      <c r="AL213" s="28"/>
      <c r="AM213" s="5"/>
      <c r="AN213" s="19"/>
      <c r="AO213" s="19"/>
      <c r="AP213" s="5"/>
      <c r="AQ213" s="5"/>
      <c r="AR213" s="5"/>
      <c r="AS213" s="5"/>
      <c r="AT213" s="5"/>
      <c r="AU213" s="19"/>
      <c r="AV213" s="19"/>
      <c r="AW213" s="5"/>
      <c r="AX213" s="5"/>
      <c r="AY213" s="19"/>
      <c r="AZ213" s="30"/>
      <c r="BA213" s="5"/>
      <c r="BB213" s="31" t="str">
        <f aca="false">IF(OR($T213="",$M213=""),"",$T213-$M213)</f>
        <v/>
      </c>
      <c r="BC213" s="32" t="str">
        <f aca="false">IF(OR($T213="",$M213="",$M213=0),"",($T213-$M213)/$M213)</f>
        <v/>
      </c>
      <c r="BD213" s="31" t="str">
        <f aca="false">IF(OR($U213="",$M213=""),"",$U213-$M213)</f>
        <v/>
      </c>
      <c r="BE213" s="32" t="str">
        <f aca="false">IF(OR($U213="",$M213="",$M213=0),"",($U213-$M213)/$M213)</f>
        <v/>
      </c>
      <c r="BF213" s="32" t="str">
        <f aca="false">IF(OR($U213="",$J213="",$J213=0),"",($U213-$J213)/$J213)</f>
        <v/>
      </c>
      <c r="BG213" s="32" t="str">
        <f aca="false">IF(OR($M213="",$K213="",$K213=0),"",($M213-$K213)/$K213)</f>
        <v/>
      </c>
      <c r="BH213" s="32" t="str">
        <f aca="false">IF(OR($W213="",$N213="",$N213=0),"",($W213-$N213)/$N213)</f>
        <v/>
      </c>
      <c r="BI213" s="33" t="str">
        <f aca="false">IF(OR($O213="",$X213=""),"",$O213-$X213)</f>
        <v/>
      </c>
      <c r="BJ213" s="33" t="str">
        <f aca="false">IF(OR($P213="",$Y213=""),"",$P213-$Y213)</f>
        <v/>
      </c>
      <c r="BK213" s="34" t="str">
        <f aca="false">IF(OR($AN213="",$AO213="",$AN213=0),"",$AO213/$AN213)</f>
        <v/>
      </c>
      <c r="BL213" s="34" t="str">
        <f aca="false">IF(OR($AU213="",$AV213="",$AU213=0),"",$AV213/$AU213)</f>
        <v/>
      </c>
      <c r="BM213" s="7" t="str">
        <f aca="false">IF($Z213="","",IF(AND($Z213="Y",$AB213&lt;&gt;"N",$AC213&lt;&gt;"Y"),"Y","N"))</f>
        <v/>
      </c>
      <c r="BN213" s="7" t="str">
        <f aca="false">IF($AH213="","",IF($Z213&lt;&gt;"Y","undefined",IF($AH213&lt;=1,"Y","N")))</f>
        <v/>
      </c>
      <c r="BO213" s="7" t="str">
        <f aca="false">IF($AH213="","",IF($Z213&lt;&gt;"Y","undefined",IF($AH213&lt;=10,"Y","N")))</f>
        <v/>
      </c>
      <c r="BP213" s="7" t="str">
        <f aca="false">IF($AH213="","",IF($Z213&lt;&gt;"Y","undefined",IF($AH213&lt;=100,"Y","N")))</f>
        <v/>
      </c>
    </row>
    <row r="214" customFormat="false" ht="15" hidden="false" customHeight="false" outlineLevel="0" collapsed="false">
      <c r="A214" s="7" t="str">
        <f aca="false">IF($B214="","",$B214&amp;"|"&amp;$C214&amp;"|"&amp;$F214)</f>
        <v/>
      </c>
      <c r="B214" s="5"/>
      <c r="C214" s="5"/>
      <c r="D214" s="5"/>
      <c r="E214" s="5"/>
      <c r="F214" s="5"/>
      <c r="G214" s="5"/>
      <c r="H214" s="5"/>
      <c r="I214" s="5"/>
      <c r="J214" s="20"/>
      <c r="K214" s="20"/>
      <c r="L214" s="28"/>
      <c r="M214" s="20"/>
      <c r="N214" s="28"/>
      <c r="O214" s="19"/>
      <c r="P214" s="19"/>
      <c r="Q214" s="5"/>
      <c r="R214" s="19"/>
      <c r="S214" s="5"/>
      <c r="T214" s="20"/>
      <c r="U214" s="20"/>
      <c r="V214" s="29"/>
      <c r="W214" s="28"/>
      <c r="X214" s="19"/>
      <c r="Y214" s="19"/>
      <c r="Z214" s="5"/>
      <c r="AA214" s="19"/>
      <c r="AB214" s="5"/>
      <c r="AC214" s="5"/>
      <c r="AD214" s="5"/>
      <c r="AE214" s="5"/>
      <c r="AF214" s="30"/>
      <c r="AG214" s="30"/>
      <c r="AH214" s="30"/>
      <c r="AI214" s="30"/>
      <c r="AJ214" s="30"/>
      <c r="AK214" s="30"/>
      <c r="AL214" s="28"/>
      <c r="AM214" s="5"/>
      <c r="AN214" s="19"/>
      <c r="AO214" s="19"/>
      <c r="AP214" s="5"/>
      <c r="AQ214" s="5"/>
      <c r="AR214" s="5"/>
      <c r="AS214" s="5"/>
      <c r="AT214" s="5"/>
      <c r="AU214" s="19"/>
      <c r="AV214" s="19"/>
      <c r="AW214" s="5"/>
      <c r="AX214" s="5"/>
      <c r="AY214" s="19"/>
      <c r="AZ214" s="30"/>
      <c r="BA214" s="5"/>
      <c r="BB214" s="31" t="str">
        <f aca="false">IF(OR($T214="",$M214=""),"",$T214-$M214)</f>
        <v/>
      </c>
      <c r="BC214" s="32" t="str">
        <f aca="false">IF(OR($T214="",$M214="",$M214=0),"",($T214-$M214)/$M214)</f>
        <v/>
      </c>
      <c r="BD214" s="31" t="str">
        <f aca="false">IF(OR($U214="",$M214=""),"",$U214-$M214)</f>
        <v/>
      </c>
      <c r="BE214" s="32" t="str">
        <f aca="false">IF(OR($U214="",$M214="",$M214=0),"",($U214-$M214)/$M214)</f>
        <v/>
      </c>
      <c r="BF214" s="32" t="str">
        <f aca="false">IF(OR($U214="",$J214="",$J214=0),"",($U214-$J214)/$J214)</f>
        <v/>
      </c>
      <c r="BG214" s="32" t="str">
        <f aca="false">IF(OR($M214="",$K214="",$K214=0),"",($M214-$K214)/$K214)</f>
        <v/>
      </c>
      <c r="BH214" s="32" t="str">
        <f aca="false">IF(OR($W214="",$N214="",$N214=0),"",($W214-$N214)/$N214)</f>
        <v/>
      </c>
      <c r="BI214" s="33" t="str">
        <f aca="false">IF(OR($O214="",$X214=""),"",$O214-$X214)</f>
        <v/>
      </c>
      <c r="BJ214" s="33" t="str">
        <f aca="false">IF(OR($P214="",$Y214=""),"",$P214-$Y214)</f>
        <v/>
      </c>
      <c r="BK214" s="34" t="str">
        <f aca="false">IF(OR($AN214="",$AO214="",$AN214=0),"",$AO214/$AN214)</f>
        <v/>
      </c>
      <c r="BL214" s="34" t="str">
        <f aca="false">IF(OR($AU214="",$AV214="",$AU214=0),"",$AV214/$AU214)</f>
        <v/>
      </c>
      <c r="BM214" s="7" t="str">
        <f aca="false">IF($Z214="","",IF(AND($Z214="Y",$AB214&lt;&gt;"N",$AC214&lt;&gt;"Y"),"Y","N"))</f>
        <v/>
      </c>
      <c r="BN214" s="7" t="str">
        <f aca="false">IF($AH214="","",IF($Z214&lt;&gt;"Y","undefined",IF($AH214&lt;=1,"Y","N")))</f>
        <v/>
      </c>
      <c r="BO214" s="7" t="str">
        <f aca="false">IF($AH214="","",IF($Z214&lt;&gt;"Y","undefined",IF($AH214&lt;=10,"Y","N")))</f>
        <v/>
      </c>
      <c r="BP214" s="7" t="str">
        <f aca="false">IF($AH214="","",IF($Z214&lt;&gt;"Y","undefined",IF($AH214&lt;=100,"Y","N")))</f>
        <v/>
      </c>
    </row>
    <row r="215" customFormat="false" ht="15" hidden="false" customHeight="false" outlineLevel="0" collapsed="false">
      <c r="A215" s="7" t="str">
        <f aca="false">IF($B215="","",$B215&amp;"|"&amp;$C215&amp;"|"&amp;$F215)</f>
        <v/>
      </c>
      <c r="B215" s="5"/>
      <c r="C215" s="5"/>
      <c r="D215" s="5"/>
      <c r="E215" s="5"/>
      <c r="F215" s="5"/>
      <c r="G215" s="5"/>
      <c r="H215" s="5"/>
      <c r="I215" s="5"/>
      <c r="J215" s="20"/>
      <c r="K215" s="20"/>
      <c r="L215" s="28"/>
      <c r="M215" s="20"/>
      <c r="N215" s="28"/>
      <c r="O215" s="19"/>
      <c r="P215" s="19"/>
      <c r="Q215" s="5"/>
      <c r="R215" s="19"/>
      <c r="S215" s="5"/>
      <c r="T215" s="20"/>
      <c r="U215" s="20"/>
      <c r="V215" s="29"/>
      <c r="W215" s="28"/>
      <c r="X215" s="19"/>
      <c r="Y215" s="19"/>
      <c r="Z215" s="5"/>
      <c r="AA215" s="19"/>
      <c r="AB215" s="5"/>
      <c r="AC215" s="5"/>
      <c r="AD215" s="5"/>
      <c r="AE215" s="5"/>
      <c r="AF215" s="30"/>
      <c r="AG215" s="30"/>
      <c r="AH215" s="30"/>
      <c r="AI215" s="30"/>
      <c r="AJ215" s="30"/>
      <c r="AK215" s="30"/>
      <c r="AL215" s="28"/>
      <c r="AM215" s="5"/>
      <c r="AN215" s="19"/>
      <c r="AO215" s="19"/>
      <c r="AP215" s="5"/>
      <c r="AQ215" s="5"/>
      <c r="AR215" s="5"/>
      <c r="AS215" s="5"/>
      <c r="AT215" s="5"/>
      <c r="AU215" s="19"/>
      <c r="AV215" s="19"/>
      <c r="AW215" s="5"/>
      <c r="AX215" s="5"/>
      <c r="AY215" s="19"/>
      <c r="AZ215" s="30"/>
      <c r="BA215" s="5"/>
      <c r="BB215" s="31" t="str">
        <f aca="false">IF(OR($T215="",$M215=""),"",$T215-$M215)</f>
        <v/>
      </c>
      <c r="BC215" s="32" t="str">
        <f aca="false">IF(OR($T215="",$M215="",$M215=0),"",($T215-$M215)/$M215)</f>
        <v/>
      </c>
      <c r="BD215" s="31" t="str">
        <f aca="false">IF(OR($U215="",$M215=""),"",$U215-$M215)</f>
        <v/>
      </c>
      <c r="BE215" s="32" t="str">
        <f aca="false">IF(OR($U215="",$M215="",$M215=0),"",($U215-$M215)/$M215)</f>
        <v/>
      </c>
      <c r="BF215" s="32" t="str">
        <f aca="false">IF(OR($U215="",$J215="",$J215=0),"",($U215-$J215)/$J215)</f>
        <v/>
      </c>
      <c r="BG215" s="32" t="str">
        <f aca="false">IF(OR($M215="",$K215="",$K215=0),"",($M215-$K215)/$K215)</f>
        <v/>
      </c>
      <c r="BH215" s="32" t="str">
        <f aca="false">IF(OR($W215="",$N215="",$N215=0),"",($W215-$N215)/$N215)</f>
        <v/>
      </c>
      <c r="BI215" s="33" t="str">
        <f aca="false">IF(OR($O215="",$X215=""),"",$O215-$X215)</f>
        <v/>
      </c>
      <c r="BJ215" s="33" t="str">
        <f aca="false">IF(OR($P215="",$Y215=""),"",$P215-$Y215)</f>
        <v/>
      </c>
      <c r="BK215" s="34" t="str">
        <f aca="false">IF(OR($AN215="",$AO215="",$AN215=0),"",$AO215/$AN215)</f>
        <v/>
      </c>
      <c r="BL215" s="34" t="str">
        <f aca="false">IF(OR($AU215="",$AV215="",$AU215=0),"",$AV215/$AU215)</f>
        <v/>
      </c>
      <c r="BM215" s="7" t="str">
        <f aca="false">IF($Z215="","",IF(AND($Z215="Y",$AB215&lt;&gt;"N",$AC215&lt;&gt;"Y"),"Y","N"))</f>
        <v/>
      </c>
      <c r="BN215" s="7" t="str">
        <f aca="false">IF($AH215="","",IF($Z215&lt;&gt;"Y","undefined",IF($AH215&lt;=1,"Y","N")))</f>
        <v/>
      </c>
      <c r="BO215" s="7" t="str">
        <f aca="false">IF($AH215="","",IF($Z215&lt;&gt;"Y","undefined",IF($AH215&lt;=10,"Y","N")))</f>
        <v/>
      </c>
      <c r="BP215" s="7" t="str">
        <f aca="false">IF($AH215="","",IF($Z215&lt;&gt;"Y","undefined",IF($AH215&lt;=100,"Y","N")))</f>
        <v/>
      </c>
    </row>
    <row r="216" customFormat="false" ht="15" hidden="false" customHeight="false" outlineLevel="0" collapsed="false">
      <c r="A216" s="7" t="str">
        <f aca="false">IF($B216="","",$B216&amp;"|"&amp;$C216&amp;"|"&amp;$F216)</f>
        <v/>
      </c>
      <c r="B216" s="5"/>
      <c r="C216" s="5"/>
      <c r="D216" s="5"/>
      <c r="E216" s="5"/>
      <c r="F216" s="5"/>
      <c r="G216" s="5"/>
      <c r="H216" s="5"/>
      <c r="I216" s="5"/>
      <c r="J216" s="20"/>
      <c r="K216" s="20"/>
      <c r="L216" s="28"/>
      <c r="M216" s="20"/>
      <c r="N216" s="28"/>
      <c r="O216" s="19"/>
      <c r="P216" s="19"/>
      <c r="Q216" s="5"/>
      <c r="R216" s="19"/>
      <c r="S216" s="5"/>
      <c r="T216" s="20"/>
      <c r="U216" s="20"/>
      <c r="V216" s="29"/>
      <c r="W216" s="28"/>
      <c r="X216" s="19"/>
      <c r="Y216" s="19"/>
      <c r="Z216" s="5"/>
      <c r="AA216" s="19"/>
      <c r="AB216" s="5"/>
      <c r="AC216" s="5"/>
      <c r="AD216" s="5"/>
      <c r="AE216" s="5"/>
      <c r="AF216" s="30"/>
      <c r="AG216" s="30"/>
      <c r="AH216" s="30"/>
      <c r="AI216" s="30"/>
      <c r="AJ216" s="30"/>
      <c r="AK216" s="30"/>
      <c r="AL216" s="28"/>
      <c r="AM216" s="5"/>
      <c r="AN216" s="19"/>
      <c r="AO216" s="19"/>
      <c r="AP216" s="5"/>
      <c r="AQ216" s="5"/>
      <c r="AR216" s="5"/>
      <c r="AS216" s="5"/>
      <c r="AT216" s="5"/>
      <c r="AU216" s="19"/>
      <c r="AV216" s="19"/>
      <c r="AW216" s="5"/>
      <c r="AX216" s="5"/>
      <c r="AY216" s="19"/>
      <c r="AZ216" s="30"/>
      <c r="BA216" s="5"/>
      <c r="BB216" s="31" t="str">
        <f aca="false">IF(OR($T216="",$M216=""),"",$T216-$M216)</f>
        <v/>
      </c>
      <c r="BC216" s="32" t="str">
        <f aca="false">IF(OR($T216="",$M216="",$M216=0),"",($T216-$M216)/$M216)</f>
        <v/>
      </c>
      <c r="BD216" s="31" t="str">
        <f aca="false">IF(OR($U216="",$M216=""),"",$U216-$M216)</f>
        <v/>
      </c>
      <c r="BE216" s="32" t="str">
        <f aca="false">IF(OR($U216="",$M216="",$M216=0),"",($U216-$M216)/$M216)</f>
        <v/>
      </c>
      <c r="BF216" s="32" t="str">
        <f aca="false">IF(OR($U216="",$J216="",$J216=0),"",($U216-$J216)/$J216)</f>
        <v/>
      </c>
      <c r="BG216" s="32" t="str">
        <f aca="false">IF(OR($M216="",$K216="",$K216=0),"",($M216-$K216)/$K216)</f>
        <v/>
      </c>
      <c r="BH216" s="32" t="str">
        <f aca="false">IF(OR($W216="",$N216="",$N216=0),"",($W216-$N216)/$N216)</f>
        <v/>
      </c>
      <c r="BI216" s="33" t="str">
        <f aca="false">IF(OR($O216="",$X216=""),"",$O216-$X216)</f>
        <v/>
      </c>
      <c r="BJ216" s="33" t="str">
        <f aca="false">IF(OR($P216="",$Y216=""),"",$P216-$Y216)</f>
        <v/>
      </c>
      <c r="BK216" s="34" t="str">
        <f aca="false">IF(OR($AN216="",$AO216="",$AN216=0),"",$AO216/$AN216)</f>
        <v/>
      </c>
      <c r="BL216" s="34" t="str">
        <f aca="false">IF(OR($AU216="",$AV216="",$AU216=0),"",$AV216/$AU216)</f>
        <v/>
      </c>
      <c r="BM216" s="7" t="str">
        <f aca="false">IF($Z216="","",IF(AND($Z216="Y",$AB216&lt;&gt;"N",$AC216&lt;&gt;"Y"),"Y","N"))</f>
        <v/>
      </c>
      <c r="BN216" s="7" t="str">
        <f aca="false">IF($AH216="","",IF($Z216&lt;&gt;"Y","undefined",IF($AH216&lt;=1,"Y","N")))</f>
        <v/>
      </c>
      <c r="BO216" s="7" t="str">
        <f aca="false">IF($AH216="","",IF($Z216&lt;&gt;"Y","undefined",IF($AH216&lt;=10,"Y","N")))</f>
        <v/>
      </c>
      <c r="BP216" s="7" t="str">
        <f aca="false">IF($AH216="","",IF($Z216&lt;&gt;"Y","undefined",IF($AH216&lt;=100,"Y","N")))</f>
        <v/>
      </c>
    </row>
    <row r="217" customFormat="false" ht="15" hidden="false" customHeight="false" outlineLevel="0" collapsed="false">
      <c r="A217" s="7" t="str">
        <f aca="false">IF($B217="","",$B217&amp;"|"&amp;$C217&amp;"|"&amp;$F217)</f>
        <v/>
      </c>
      <c r="B217" s="5"/>
      <c r="C217" s="5"/>
      <c r="D217" s="5"/>
      <c r="E217" s="5"/>
      <c r="F217" s="5"/>
      <c r="G217" s="5"/>
      <c r="H217" s="5"/>
      <c r="I217" s="5"/>
      <c r="J217" s="20"/>
      <c r="K217" s="20"/>
      <c r="L217" s="28"/>
      <c r="M217" s="20"/>
      <c r="N217" s="28"/>
      <c r="O217" s="19"/>
      <c r="P217" s="19"/>
      <c r="Q217" s="5"/>
      <c r="R217" s="19"/>
      <c r="S217" s="5"/>
      <c r="T217" s="20"/>
      <c r="U217" s="20"/>
      <c r="V217" s="29"/>
      <c r="W217" s="28"/>
      <c r="X217" s="19"/>
      <c r="Y217" s="19"/>
      <c r="Z217" s="5"/>
      <c r="AA217" s="19"/>
      <c r="AB217" s="5"/>
      <c r="AC217" s="5"/>
      <c r="AD217" s="5"/>
      <c r="AE217" s="5"/>
      <c r="AF217" s="30"/>
      <c r="AG217" s="30"/>
      <c r="AH217" s="30"/>
      <c r="AI217" s="30"/>
      <c r="AJ217" s="30"/>
      <c r="AK217" s="30"/>
      <c r="AL217" s="28"/>
      <c r="AM217" s="5"/>
      <c r="AN217" s="19"/>
      <c r="AO217" s="19"/>
      <c r="AP217" s="5"/>
      <c r="AQ217" s="5"/>
      <c r="AR217" s="5"/>
      <c r="AS217" s="5"/>
      <c r="AT217" s="5"/>
      <c r="AU217" s="19"/>
      <c r="AV217" s="19"/>
      <c r="AW217" s="5"/>
      <c r="AX217" s="5"/>
      <c r="AY217" s="19"/>
      <c r="AZ217" s="30"/>
      <c r="BA217" s="5"/>
      <c r="BB217" s="31" t="str">
        <f aca="false">IF(OR($T217="",$M217=""),"",$T217-$M217)</f>
        <v/>
      </c>
      <c r="BC217" s="32" t="str">
        <f aca="false">IF(OR($T217="",$M217="",$M217=0),"",($T217-$M217)/$M217)</f>
        <v/>
      </c>
      <c r="BD217" s="31" t="str">
        <f aca="false">IF(OR($U217="",$M217=""),"",$U217-$M217)</f>
        <v/>
      </c>
      <c r="BE217" s="32" t="str">
        <f aca="false">IF(OR($U217="",$M217="",$M217=0),"",($U217-$M217)/$M217)</f>
        <v/>
      </c>
      <c r="BF217" s="32" t="str">
        <f aca="false">IF(OR($U217="",$J217="",$J217=0),"",($U217-$J217)/$J217)</f>
        <v/>
      </c>
      <c r="BG217" s="32" t="str">
        <f aca="false">IF(OR($M217="",$K217="",$K217=0),"",($M217-$K217)/$K217)</f>
        <v/>
      </c>
      <c r="BH217" s="32" t="str">
        <f aca="false">IF(OR($W217="",$N217="",$N217=0),"",($W217-$N217)/$N217)</f>
        <v/>
      </c>
      <c r="BI217" s="33" t="str">
        <f aca="false">IF(OR($O217="",$X217=""),"",$O217-$X217)</f>
        <v/>
      </c>
      <c r="BJ217" s="33" t="str">
        <f aca="false">IF(OR($P217="",$Y217=""),"",$P217-$Y217)</f>
        <v/>
      </c>
      <c r="BK217" s="34" t="str">
        <f aca="false">IF(OR($AN217="",$AO217="",$AN217=0),"",$AO217/$AN217)</f>
        <v/>
      </c>
      <c r="BL217" s="34" t="str">
        <f aca="false">IF(OR($AU217="",$AV217="",$AU217=0),"",$AV217/$AU217)</f>
        <v/>
      </c>
      <c r="BM217" s="7" t="str">
        <f aca="false">IF($Z217="","",IF(AND($Z217="Y",$AB217&lt;&gt;"N",$AC217&lt;&gt;"Y"),"Y","N"))</f>
        <v/>
      </c>
      <c r="BN217" s="7" t="str">
        <f aca="false">IF($AH217="","",IF($Z217&lt;&gt;"Y","undefined",IF($AH217&lt;=1,"Y","N")))</f>
        <v/>
      </c>
      <c r="BO217" s="7" t="str">
        <f aca="false">IF($AH217="","",IF($Z217&lt;&gt;"Y","undefined",IF($AH217&lt;=10,"Y","N")))</f>
        <v/>
      </c>
      <c r="BP217" s="7" t="str">
        <f aca="false">IF($AH217="","",IF($Z217&lt;&gt;"Y","undefined",IF($AH217&lt;=100,"Y","N")))</f>
        <v/>
      </c>
    </row>
    <row r="218" customFormat="false" ht="15" hidden="false" customHeight="false" outlineLevel="0" collapsed="false">
      <c r="A218" s="7" t="str">
        <f aca="false">IF($B218="","",$B218&amp;"|"&amp;$C218&amp;"|"&amp;$F218)</f>
        <v/>
      </c>
      <c r="B218" s="5"/>
      <c r="C218" s="5"/>
      <c r="D218" s="5"/>
      <c r="E218" s="5"/>
      <c r="F218" s="5"/>
      <c r="G218" s="5"/>
      <c r="H218" s="5"/>
      <c r="I218" s="5"/>
      <c r="J218" s="20"/>
      <c r="K218" s="20"/>
      <c r="L218" s="28"/>
      <c r="M218" s="20"/>
      <c r="N218" s="28"/>
      <c r="O218" s="19"/>
      <c r="P218" s="19"/>
      <c r="Q218" s="5"/>
      <c r="R218" s="19"/>
      <c r="S218" s="5"/>
      <c r="T218" s="20"/>
      <c r="U218" s="20"/>
      <c r="V218" s="29"/>
      <c r="W218" s="28"/>
      <c r="X218" s="19"/>
      <c r="Y218" s="19"/>
      <c r="Z218" s="5"/>
      <c r="AA218" s="19"/>
      <c r="AB218" s="5"/>
      <c r="AC218" s="5"/>
      <c r="AD218" s="5"/>
      <c r="AE218" s="5"/>
      <c r="AF218" s="30"/>
      <c r="AG218" s="30"/>
      <c r="AH218" s="30"/>
      <c r="AI218" s="30"/>
      <c r="AJ218" s="30"/>
      <c r="AK218" s="30"/>
      <c r="AL218" s="28"/>
      <c r="AM218" s="5"/>
      <c r="AN218" s="19"/>
      <c r="AO218" s="19"/>
      <c r="AP218" s="5"/>
      <c r="AQ218" s="5"/>
      <c r="AR218" s="5"/>
      <c r="AS218" s="5"/>
      <c r="AT218" s="5"/>
      <c r="AU218" s="19"/>
      <c r="AV218" s="19"/>
      <c r="AW218" s="5"/>
      <c r="AX218" s="5"/>
      <c r="AY218" s="19"/>
      <c r="AZ218" s="30"/>
      <c r="BA218" s="5"/>
      <c r="BB218" s="31" t="str">
        <f aca="false">IF(OR($T218="",$M218=""),"",$T218-$M218)</f>
        <v/>
      </c>
      <c r="BC218" s="32" t="str">
        <f aca="false">IF(OR($T218="",$M218="",$M218=0),"",($T218-$M218)/$M218)</f>
        <v/>
      </c>
      <c r="BD218" s="31" t="str">
        <f aca="false">IF(OR($U218="",$M218=""),"",$U218-$M218)</f>
        <v/>
      </c>
      <c r="BE218" s="32" t="str">
        <f aca="false">IF(OR($U218="",$M218="",$M218=0),"",($U218-$M218)/$M218)</f>
        <v/>
      </c>
      <c r="BF218" s="32" t="str">
        <f aca="false">IF(OR($U218="",$J218="",$J218=0),"",($U218-$J218)/$J218)</f>
        <v/>
      </c>
      <c r="BG218" s="32" t="str">
        <f aca="false">IF(OR($M218="",$K218="",$K218=0),"",($M218-$K218)/$K218)</f>
        <v/>
      </c>
      <c r="BH218" s="32" t="str">
        <f aca="false">IF(OR($W218="",$N218="",$N218=0),"",($W218-$N218)/$N218)</f>
        <v/>
      </c>
      <c r="BI218" s="33" t="str">
        <f aca="false">IF(OR($O218="",$X218=""),"",$O218-$X218)</f>
        <v/>
      </c>
      <c r="BJ218" s="33" t="str">
        <f aca="false">IF(OR($P218="",$Y218=""),"",$P218-$Y218)</f>
        <v/>
      </c>
      <c r="BK218" s="34" t="str">
        <f aca="false">IF(OR($AN218="",$AO218="",$AN218=0),"",$AO218/$AN218)</f>
        <v/>
      </c>
      <c r="BL218" s="34" t="str">
        <f aca="false">IF(OR($AU218="",$AV218="",$AU218=0),"",$AV218/$AU218)</f>
        <v/>
      </c>
      <c r="BM218" s="7" t="str">
        <f aca="false">IF($Z218="","",IF(AND($Z218="Y",$AB218&lt;&gt;"N",$AC218&lt;&gt;"Y"),"Y","N"))</f>
        <v/>
      </c>
      <c r="BN218" s="7" t="str">
        <f aca="false">IF($AH218="","",IF($Z218&lt;&gt;"Y","undefined",IF($AH218&lt;=1,"Y","N")))</f>
        <v/>
      </c>
      <c r="BO218" s="7" t="str">
        <f aca="false">IF($AH218="","",IF($Z218&lt;&gt;"Y","undefined",IF($AH218&lt;=10,"Y","N")))</f>
        <v/>
      </c>
      <c r="BP218" s="7" t="str">
        <f aca="false">IF($AH218="","",IF($Z218&lt;&gt;"Y","undefined",IF($AH218&lt;=100,"Y","N")))</f>
        <v/>
      </c>
    </row>
    <row r="219" customFormat="false" ht="15" hidden="false" customHeight="false" outlineLevel="0" collapsed="false">
      <c r="A219" s="7" t="str">
        <f aca="false">IF($B219="","",$B219&amp;"|"&amp;$C219&amp;"|"&amp;$F219)</f>
        <v/>
      </c>
      <c r="B219" s="5"/>
      <c r="C219" s="5"/>
      <c r="D219" s="5"/>
      <c r="E219" s="5"/>
      <c r="F219" s="5"/>
      <c r="G219" s="5"/>
      <c r="H219" s="5"/>
      <c r="I219" s="5"/>
      <c r="J219" s="20"/>
      <c r="K219" s="20"/>
      <c r="L219" s="28"/>
      <c r="M219" s="20"/>
      <c r="N219" s="28"/>
      <c r="O219" s="19"/>
      <c r="P219" s="19"/>
      <c r="Q219" s="5"/>
      <c r="R219" s="19"/>
      <c r="S219" s="5"/>
      <c r="T219" s="20"/>
      <c r="U219" s="20"/>
      <c r="V219" s="29"/>
      <c r="W219" s="28"/>
      <c r="X219" s="19"/>
      <c r="Y219" s="19"/>
      <c r="Z219" s="5"/>
      <c r="AA219" s="19"/>
      <c r="AB219" s="5"/>
      <c r="AC219" s="5"/>
      <c r="AD219" s="5"/>
      <c r="AE219" s="5"/>
      <c r="AF219" s="30"/>
      <c r="AG219" s="30"/>
      <c r="AH219" s="30"/>
      <c r="AI219" s="30"/>
      <c r="AJ219" s="30"/>
      <c r="AK219" s="30"/>
      <c r="AL219" s="28"/>
      <c r="AM219" s="5"/>
      <c r="AN219" s="19"/>
      <c r="AO219" s="19"/>
      <c r="AP219" s="5"/>
      <c r="AQ219" s="5"/>
      <c r="AR219" s="5"/>
      <c r="AS219" s="5"/>
      <c r="AT219" s="5"/>
      <c r="AU219" s="19"/>
      <c r="AV219" s="19"/>
      <c r="AW219" s="5"/>
      <c r="AX219" s="5"/>
      <c r="AY219" s="19"/>
      <c r="AZ219" s="30"/>
      <c r="BA219" s="5"/>
      <c r="BB219" s="31" t="str">
        <f aca="false">IF(OR($T219="",$M219=""),"",$T219-$M219)</f>
        <v/>
      </c>
      <c r="BC219" s="32" t="str">
        <f aca="false">IF(OR($T219="",$M219="",$M219=0),"",($T219-$M219)/$M219)</f>
        <v/>
      </c>
      <c r="BD219" s="31" t="str">
        <f aca="false">IF(OR($U219="",$M219=""),"",$U219-$M219)</f>
        <v/>
      </c>
      <c r="BE219" s="32" t="str">
        <f aca="false">IF(OR($U219="",$M219="",$M219=0),"",($U219-$M219)/$M219)</f>
        <v/>
      </c>
      <c r="BF219" s="32" t="str">
        <f aca="false">IF(OR($U219="",$J219="",$J219=0),"",($U219-$J219)/$J219)</f>
        <v/>
      </c>
      <c r="BG219" s="32" t="str">
        <f aca="false">IF(OR($M219="",$K219="",$K219=0),"",($M219-$K219)/$K219)</f>
        <v/>
      </c>
      <c r="BH219" s="32" t="str">
        <f aca="false">IF(OR($W219="",$N219="",$N219=0),"",($W219-$N219)/$N219)</f>
        <v/>
      </c>
      <c r="BI219" s="33" t="str">
        <f aca="false">IF(OR($O219="",$X219=""),"",$O219-$X219)</f>
        <v/>
      </c>
      <c r="BJ219" s="33" t="str">
        <f aca="false">IF(OR($P219="",$Y219=""),"",$P219-$Y219)</f>
        <v/>
      </c>
      <c r="BK219" s="34" t="str">
        <f aca="false">IF(OR($AN219="",$AO219="",$AN219=0),"",$AO219/$AN219)</f>
        <v/>
      </c>
      <c r="BL219" s="34" t="str">
        <f aca="false">IF(OR($AU219="",$AV219="",$AU219=0),"",$AV219/$AU219)</f>
        <v/>
      </c>
      <c r="BM219" s="7" t="str">
        <f aca="false">IF($Z219="","",IF(AND($Z219="Y",$AB219&lt;&gt;"N",$AC219&lt;&gt;"Y"),"Y","N"))</f>
        <v/>
      </c>
      <c r="BN219" s="7" t="str">
        <f aca="false">IF($AH219="","",IF($Z219&lt;&gt;"Y","undefined",IF($AH219&lt;=1,"Y","N")))</f>
        <v/>
      </c>
      <c r="BO219" s="7" t="str">
        <f aca="false">IF($AH219="","",IF($Z219&lt;&gt;"Y","undefined",IF($AH219&lt;=10,"Y","N")))</f>
        <v/>
      </c>
      <c r="BP219" s="7" t="str">
        <f aca="false">IF($AH219="","",IF($Z219&lt;&gt;"Y","undefined",IF($AH219&lt;=100,"Y","N")))</f>
        <v/>
      </c>
    </row>
    <row r="220" customFormat="false" ht="15" hidden="false" customHeight="false" outlineLevel="0" collapsed="false">
      <c r="A220" s="7" t="str">
        <f aca="false">IF($B220="","",$B220&amp;"|"&amp;$C220&amp;"|"&amp;$F220)</f>
        <v/>
      </c>
      <c r="B220" s="5"/>
      <c r="C220" s="5"/>
      <c r="D220" s="5"/>
      <c r="E220" s="5"/>
      <c r="F220" s="5"/>
      <c r="G220" s="5"/>
      <c r="H220" s="5"/>
      <c r="I220" s="5"/>
      <c r="J220" s="20"/>
      <c r="K220" s="20"/>
      <c r="L220" s="28"/>
      <c r="M220" s="20"/>
      <c r="N220" s="28"/>
      <c r="O220" s="19"/>
      <c r="P220" s="19"/>
      <c r="Q220" s="5"/>
      <c r="R220" s="19"/>
      <c r="S220" s="5"/>
      <c r="T220" s="20"/>
      <c r="U220" s="20"/>
      <c r="V220" s="29"/>
      <c r="W220" s="28"/>
      <c r="X220" s="19"/>
      <c r="Y220" s="19"/>
      <c r="Z220" s="5"/>
      <c r="AA220" s="19"/>
      <c r="AB220" s="5"/>
      <c r="AC220" s="5"/>
      <c r="AD220" s="5"/>
      <c r="AE220" s="5"/>
      <c r="AF220" s="30"/>
      <c r="AG220" s="30"/>
      <c r="AH220" s="30"/>
      <c r="AI220" s="30"/>
      <c r="AJ220" s="30"/>
      <c r="AK220" s="30"/>
      <c r="AL220" s="28"/>
      <c r="AM220" s="5"/>
      <c r="AN220" s="19"/>
      <c r="AO220" s="19"/>
      <c r="AP220" s="5"/>
      <c r="AQ220" s="5"/>
      <c r="AR220" s="5"/>
      <c r="AS220" s="5"/>
      <c r="AT220" s="5"/>
      <c r="AU220" s="19"/>
      <c r="AV220" s="19"/>
      <c r="AW220" s="5"/>
      <c r="AX220" s="5"/>
      <c r="AY220" s="19"/>
      <c r="AZ220" s="30"/>
      <c r="BA220" s="5"/>
      <c r="BB220" s="31" t="str">
        <f aca="false">IF(OR($T220="",$M220=""),"",$T220-$M220)</f>
        <v/>
      </c>
      <c r="BC220" s="32" t="str">
        <f aca="false">IF(OR($T220="",$M220="",$M220=0),"",($T220-$M220)/$M220)</f>
        <v/>
      </c>
      <c r="BD220" s="31" t="str">
        <f aca="false">IF(OR($U220="",$M220=""),"",$U220-$M220)</f>
        <v/>
      </c>
      <c r="BE220" s="32" t="str">
        <f aca="false">IF(OR($U220="",$M220="",$M220=0),"",($U220-$M220)/$M220)</f>
        <v/>
      </c>
      <c r="BF220" s="32" t="str">
        <f aca="false">IF(OR($U220="",$J220="",$J220=0),"",($U220-$J220)/$J220)</f>
        <v/>
      </c>
      <c r="BG220" s="32" t="str">
        <f aca="false">IF(OR($M220="",$K220="",$K220=0),"",($M220-$K220)/$K220)</f>
        <v/>
      </c>
      <c r="BH220" s="32" t="str">
        <f aca="false">IF(OR($W220="",$N220="",$N220=0),"",($W220-$N220)/$N220)</f>
        <v/>
      </c>
      <c r="BI220" s="33" t="str">
        <f aca="false">IF(OR($O220="",$X220=""),"",$O220-$X220)</f>
        <v/>
      </c>
      <c r="BJ220" s="33" t="str">
        <f aca="false">IF(OR($P220="",$Y220=""),"",$P220-$Y220)</f>
        <v/>
      </c>
      <c r="BK220" s="34" t="str">
        <f aca="false">IF(OR($AN220="",$AO220="",$AN220=0),"",$AO220/$AN220)</f>
        <v/>
      </c>
      <c r="BL220" s="34" t="str">
        <f aca="false">IF(OR($AU220="",$AV220="",$AU220=0),"",$AV220/$AU220)</f>
        <v/>
      </c>
      <c r="BM220" s="7" t="str">
        <f aca="false">IF($Z220="","",IF(AND($Z220="Y",$AB220&lt;&gt;"N",$AC220&lt;&gt;"Y"),"Y","N"))</f>
        <v/>
      </c>
      <c r="BN220" s="7" t="str">
        <f aca="false">IF($AH220="","",IF($Z220&lt;&gt;"Y","undefined",IF($AH220&lt;=1,"Y","N")))</f>
        <v/>
      </c>
      <c r="BO220" s="7" t="str">
        <f aca="false">IF($AH220="","",IF($Z220&lt;&gt;"Y","undefined",IF($AH220&lt;=10,"Y","N")))</f>
        <v/>
      </c>
      <c r="BP220" s="7" t="str">
        <f aca="false">IF($AH220="","",IF($Z220&lt;&gt;"Y","undefined",IF($AH220&lt;=100,"Y","N")))</f>
        <v/>
      </c>
    </row>
    <row r="221" customFormat="false" ht="15" hidden="false" customHeight="false" outlineLevel="0" collapsed="false">
      <c r="A221" s="7" t="str">
        <f aca="false">IF($B221="","",$B221&amp;"|"&amp;$C221&amp;"|"&amp;$F221)</f>
        <v/>
      </c>
      <c r="B221" s="5"/>
      <c r="C221" s="5"/>
      <c r="D221" s="5"/>
      <c r="E221" s="5"/>
      <c r="F221" s="5"/>
      <c r="G221" s="5"/>
      <c r="H221" s="5"/>
      <c r="I221" s="5"/>
      <c r="J221" s="20"/>
      <c r="K221" s="20"/>
      <c r="L221" s="28"/>
      <c r="M221" s="20"/>
      <c r="N221" s="28"/>
      <c r="O221" s="19"/>
      <c r="P221" s="19"/>
      <c r="Q221" s="5"/>
      <c r="R221" s="19"/>
      <c r="S221" s="5"/>
      <c r="T221" s="20"/>
      <c r="U221" s="20"/>
      <c r="V221" s="29"/>
      <c r="W221" s="28"/>
      <c r="X221" s="19"/>
      <c r="Y221" s="19"/>
      <c r="Z221" s="5"/>
      <c r="AA221" s="19"/>
      <c r="AB221" s="5"/>
      <c r="AC221" s="5"/>
      <c r="AD221" s="5"/>
      <c r="AE221" s="5"/>
      <c r="AF221" s="30"/>
      <c r="AG221" s="30"/>
      <c r="AH221" s="30"/>
      <c r="AI221" s="30"/>
      <c r="AJ221" s="30"/>
      <c r="AK221" s="30"/>
      <c r="AL221" s="28"/>
      <c r="AM221" s="5"/>
      <c r="AN221" s="19"/>
      <c r="AO221" s="19"/>
      <c r="AP221" s="5"/>
      <c r="AQ221" s="5"/>
      <c r="AR221" s="5"/>
      <c r="AS221" s="5"/>
      <c r="AT221" s="5"/>
      <c r="AU221" s="19"/>
      <c r="AV221" s="19"/>
      <c r="AW221" s="5"/>
      <c r="AX221" s="5"/>
      <c r="AY221" s="19"/>
      <c r="AZ221" s="30"/>
      <c r="BA221" s="5"/>
      <c r="BB221" s="31" t="str">
        <f aca="false">IF(OR($T221="",$M221=""),"",$T221-$M221)</f>
        <v/>
      </c>
      <c r="BC221" s="32" t="str">
        <f aca="false">IF(OR($T221="",$M221="",$M221=0),"",($T221-$M221)/$M221)</f>
        <v/>
      </c>
      <c r="BD221" s="31" t="str">
        <f aca="false">IF(OR($U221="",$M221=""),"",$U221-$M221)</f>
        <v/>
      </c>
      <c r="BE221" s="32" t="str">
        <f aca="false">IF(OR($U221="",$M221="",$M221=0),"",($U221-$M221)/$M221)</f>
        <v/>
      </c>
      <c r="BF221" s="32" t="str">
        <f aca="false">IF(OR($U221="",$J221="",$J221=0),"",($U221-$J221)/$J221)</f>
        <v/>
      </c>
      <c r="BG221" s="32" t="str">
        <f aca="false">IF(OR($M221="",$K221="",$K221=0),"",($M221-$K221)/$K221)</f>
        <v/>
      </c>
      <c r="BH221" s="32" t="str">
        <f aca="false">IF(OR($W221="",$N221="",$N221=0),"",($W221-$N221)/$N221)</f>
        <v/>
      </c>
      <c r="BI221" s="33" t="str">
        <f aca="false">IF(OR($O221="",$X221=""),"",$O221-$X221)</f>
        <v/>
      </c>
      <c r="BJ221" s="33" t="str">
        <f aca="false">IF(OR($P221="",$Y221=""),"",$P221-$Y221)</f>
        <v/>
      </c>
      <c r="BK221" s="34" t="str">
        <f aca="false">IF(OR($AN221="",$AO221="",$AN221=0),"",$AO221/$AN221)</f>
        <v/>
      </c>
      <c r="BL221" s="34" t="str">
        <f aca="false">IF(OR($AU221="",$AV221="",$AU221=0),"",$AV221/$AU221)</f>
        <v/>
      </c>
      <c r="BM221" s="7" t="str">
        <f aca="false">IF($Z221="","",IF(AND($Z221="Y",$AB221&lt;&gt;"N",$AC221&lt;&gt;"Y"),"Y","N"))</f>
        <v/>
      </c>
      <c r="BN221" s="7" t="str">
        <f aca="false">IF($AH221="","",IF($Z221&lt;&gt;"Y","undefined",IF($AH221&lt;=1,"Y","N")))</f>
        <v/>
      </c>
      <c r="BO221" s="7" t="str">
        <f aca="false">IF($AH221="","",IF($Z221&lt;&gt;"Y","undefined",IF($AH221&lt;=10,"Y","N")))</f>
        <v/>
      </c>
      <c r="BP221" s="7" t="str">
        <f aca="false">IF($AH221="","",IF($Z221&lt;&gt;"Y","undefined",IF($AH221&lt;=100,"Y","N")))</f>
        <v/>
      </c>
    </row>
    <row r="222" customFormat="false" ht="15" hidden="false" customHeight="false" outlineLevel="0" collapsed="false">
      <c r="A222" s="7" t="str">
        <f aca="false">IF($B222="","",$B222&amp;"|"&amp;$C222&amp;"|"&amp;$F222)</f>
        <v/>
      </c>
      <c r="B222" s="5"/>
      <c r="C222" s="5"/>
      <c r="D222" s="5"/>
      <c r="E222" s="5"/>
      <c r="F222" s="5"/>
      <c r="G222" s="5"/>
      <c r="H222" s="5"/>
      <c r="I222" s="5"/>
      <c r="J222" s="20"/>
      <c r="K222" s="20"/>
      <c r="L222" s="28"/>
      <c r="M222" s="20"/>
      <c r="N222" s="28"/>
      <c r="O222" s="19"/>
      <c r="P222" s="19"/>
      <c r="Q222" s="5"/>
      <c r="R222" s="19"/>
      <c r="S222" s="5"/>
      <c r="T222" s="20"/>
      <c r="U222" s="20"/>
      <c r="V222" s="29"/>
      <c r="W222" s="28"/>
      <c r="X222" s="19"/>
      <c r="Y222" s="19"/>
      <c r="Z222" s="5"/>
      <c r="AA222" s="19"/>
      <c r="AB222" s="5"/>
      <c r="AC222" s="5"/>
      <c r="AD222" s="5"/>
      <c r="AE222" s="5"/>
      <c r="AF222" s="30"/>
      <c r="AG222" s="30"/>
      <c r="AH222" s="30"/>
      <c r="AI222" s="30"/>
      <c r="AJ222" s="30"/>
      <c r="AK222" s="30"/>
      <c r="AL222" s="28"/>
      <c r="AM222" s="5"/>
      <c r="AN222" s="19"/>
      <c r="AO222" s="19"/>
      <c r="AP222" s="5"/>
      <c r="AQ222" s="5"/>
      <c r="AR222" s="5"/>
      <c r="AS222" s="5"/>
      <c r="AT222" s="5"/>
      <c r="AU222" s="19"/>
      <c r="AV222" s="19"/>
      <c r="AW222" s="5"/>
      <c r="AX222" s="5"/>
      <c r="AY222" s="19"/>
      <c r="AZ222" s="30"/>
      <c r="BA222" s="5"/>
      <c r="BB222" s="31" t="str">
        <f aca="false">IF(OR($T222="",$M222=""),"",$T222-$M222)</f>
        <v/>
      </c>
      <c r="BC222" s="32" t="str">
        <f aca="false">IF(OR($T222="",$M222="",$M222=0),"",($T222-$M222)/$M222)</f>
        <v/>
      </c>
      <c r="BD222" s="31" t="str">
        <f aca="false">IF(OR($U222="",$M222=""),"",$U222-$M222)</f>
        <v/>
      </c>
      <c r="BE222" s="32" t="str">
        <f aca="false">IF(OR($U222="",$M222="",$M222=0),"",($U222-$M222)/$M222)</f>
        <v/>
      </c>
      <c r="BF222" s="32" t="str">
        <f aca="false">IF(OR($U222="",$J222="",$J222=0),"",($U222-$J222)/$J222)</f>
        <v/>
      </c>
      <c r="BG222" s="32" t="str">
        <f aca="false">IF(OR($M222="",$K222="",$K222=0),"",($M222-$K222)/$K222)</f>
        <v/>
      </c>
      <c r="BH222" s="32" t="str">
        <f aca="false">IF(OR($W222="",$N222="",$N222=0),"",($W222-$N222)/$N222)</f>
        <v/>
      </c>
      <c r="BI222" s="33" t="str">
        <f aca="false">IF(OR($O222="",$X222=""),"",$O222-$X222)</f>
        <v/>
      </c>
      <c r="BJ222" s="33" t="str">
        <f aca="false">IF(OR($P222="",$Y222=""),"",$P222-$Y222)</f>
        <v/>
      </c>
      <c r="BK222" s="34" t="str">
        <f aca="false">IF(OR($AN222="",$AO222="",$AN222=0),"",$AO222/$AN222)</f>
        <v/>
      </c>
      <c r="BL222" s="34" t="str">
        <f aca="false">IF(OR($AU222="",$AV222="",$AU222=0),"",$AV222/$AU222)</f>
        <v/>
      </c>
      <c r="BM222" s="7" t="str">
        <f aca="false">IF($Z222="","",IF(AND($Z222="Y",$AB222&lt;&gt;"N",$AC222&lt;&gt;"Y"),"Y","N"))</f>
        <v/>
      </c>
      <c r="BN222" s="7" t="str">
        <f aca="false">IF($AH222="","",IF($Z222&lt;&gt;"Y","undefined",IF($AH222&lt;=1,"Y","N")))</f>
        <v/>
      </c>
      <c r="BO222" s="7" t="str">
        <f aca="false">IF($AH222="","",IF($Z222&lt;&gt;"Y","undefined",IF($AH222&lt;=10,"Y","N")))</f>
        <v/>
      </c>
      <c r="BP222" s="7" t="str">
        <f aca="false">IF($AH222="","",IF($Z222&lt;&gt;"Y","undefined",IF($AH222&lt;=100,"Y","N")))</f>
        <v/>
      </c>
    </row>
    <row r="223" customFormat="false" ht="15" hidden="false" customHeight="false" outlineLevel="0" collapsed="false">
      <c r="A223" s="7" t="str">
        <f aca="false">IF($B223="","",$B223&amp;"|"&amp;$C223&amp;"|"&amp;$F223)</f>
        <v/>
      </c>
      <c r="B223" s="5"/>
      <c r="C223" s="5"/>
      <c r="D223" s="5"/>
      <c r="E223" s="5"/>
      <c r="F223" s="5"/>
      <c r="G223" s="5"/>
      <c r="H223" s="5"/>
      <c r="I223" s="5"/>
      <c r="J223" s="20"/>
      <c r="K223" s="20"/>
      <c r="L223" s="28"/>
      <c r="M223" s="20"/>
      <c r="N223" s="28"/>
      <c r="O223" s="19"/>
      <c r="P223" s="19"/>
      <c r="Q223" s="5"/>
      <c r="R223" s="19"/>
      <c r="S223" s="5"/>
      <c r="T223" s="20"/>
      <c r="U223" s="20"/>
      <c r="V223" s="29"/>
      <c r="W223" s="28"/>
      <c r="X223" s="19"/>
      <c r="Y223" s="19"/>
      <c r="Z223" s="5"/>
      <c r="AA223" s="19"/>
      <c r="AB223" s="5"/>
      <c r="AC223" s="5"/>
      <c r="AD223" s="5"/>
      <c r="AE223" s="5"/>
      <c r="AF223" s="30"/>
      <c r="AG223" s="30"/>
      <c r="AH223" s="30"/>
      <c r="AI223" s="30"/>
      <c r="AJ223" s="30"/>
      <c r="AK223" s="30"/>
      <c r="AL223" s="28"/>
      <c r="AM223" s="5"/>
      <c r="AN223" s="19"/>
      <c r="AO223" s="19"/>
      <c r="AP223" s="5"/>
      <c r="AQ223" s="5"/>
      <c r="AR223" s="5"/>
      <c r="AS223" s="5"/>
      <c r="AT223" s="5"/>
      <c r="AU223" s="19"/>
      <c r="AV223" s="19"/>
      <c r="AW223" s="5"/>
      <c r="AX223" s="5"/>
      <c r="AY223" s="19"/>
      <c r="AZ223" s="30"/>
      <c r="BA223" s="5"/>
      <c r="BB223" s="31" t="str">
        <f aca="false">IF(OR($T223="",$M223=""),"",$T223-$M223)</f>
        <v/>
      </c>
      <c r="BC223" s="32" t="str">
        <f aca="false">IF(OR($T223="",$M223="",$M223=0),"",($T223-$M223)/$M223)</f>
        <v/>
      </c>
      <c r="BD223" s="31" t="str">
        <f aca="false">IF(OR($U223="",$M223=""),"",$U223-$M223)</f>
        <v/>
      </c>
      <c r="BE223" s="32" t="str">
        <f aca="false">IF(OR($U223="",$M223="",$M223=0),"",($U223-$M223)/$M223)</f>
        <v/>
      </c>
      <c r="BF223" s="32" t="str">
        <f aca="false">IF(OR($U223="",$J223="",$J223=0),"",($U223-$J223)/$J223)</f>
        <v/>
      </c>
      <c r="BG223" s="32" t="str">
        <f aca="false">IF(OR($M223="",$K223="",$K223=0),"",($M223-$K223)/$K223)</f>
        <v/>
      </c>
      <c r="BH223" s="32" t="str">
        <f aca="false">IF(OR($W223="",$N223="",$N223=0),"",($W223-$N223)/$N223)</f>
        <v/>
      </c>
      <c r="BI223" s="33" t="str">
        <f aca="false">IF(OR($O223="",$X223=""),"",$O223-$X223)</f>
        <v/>
      </c>
      <c r="BJ223" s="33" t="str">
        <f aca="false">IF(OR($P223="",$Y223=""),"",$P223-$Y223)</f>
        <v/>
      </c>
      <c r="BK223" s="34" t="str">
        <f aca="false">IF(OR($AN223="",$AO223="",$AN223=0),"",$AO223/$AN223)</f>
        <v/>
      </c>
      <c r="BL223" s="34" t="str">
        <f aca="false">IF(OR($AU223="",$AV223="",$AU223=0),"",$AV223/$AU223)</f>
        <v/>
      </c>
      <c r="BM223" s="7" t="str">
        <f aca="false">IF($Z223="","",IF(AND($Z223="Y",$AB223&lt;&gt;"N",$AC223&lt;&gt;"Y"),"Y","N"))</f>
        <v/>
      </c>
      <c r="BN223" s="7" t="str">
        <f aca="false">IF($AH223="","",IF($Z223&lt;&gt;"Y","undefined",IF($AH223&lt;=1,"Y","N")))</f>
        <v/>
      </c>
      <c r="BO223" s="7" t="str">
        <f aca="false">IF($AH223="","",IF($Z223&lt;&gt;"Y","undefined",IF($AH223&lt;=10,"Y","N")))</f>
        <v/>
      </c>
      <c r="BP223" s="7" t="str">
        <f aca="false">IF($AH223="","",IF($Z223&lt;&gt;"Y","undefined",IF($AH223&lt;=100,"Y","N")))</f>
        <v/>
      </c>
    </row>
    <row r="224" customFormat="false" ht="15" hidden="false" customHeight="false" outlineLevel="0" collapsed="false">
      <c r="A224" s="7" t="str">
        <f aca="false">IF($B224="","",$B224&amp;"|"&amp;$C224&amp;"|"&amp;$F224)</f>
        <v/>
      </c>
      <c r="B224" s="5"/>
      <c r="C224" s="5"/>
      <c r="D224" s="5"/>
      <c r="E224" s="5"/>
      <c r="F224" s="5"/>
      <c r="G224" s="5"/>
      <c r="H224" s="5"/>
      <c r="I224" s="5"/>
      <c r="J224" s="20"/>
      <c r="K224" s="20"/>
      <c r="L224" s="28"/>
      <c r="M224" s="20"/>
      <c r="N224" s="28"/>
      <c r="O224" s="19"/>
      <c r="P224" s="19"/>
      <c r="Q224" s="5"/>
      <c r="R224" s="19"/>
      <c r="S224" s="5"/>
      <c r="T224" s="20"/>
      <c r="U224" s="20"/>
      <c r="V224" s="29"/>
      <c r="W224" s="28"/>
      <c r="X224" s="19"/>
      <c r="Y224" s="19"/>
      <c r="Z224" s="5"/>
      <c r="AA224" s="19"/>
      <c r="AB224" s="5"/>
      <c r="AC224" s="5"/>
      <c r="AD224" s="5"/>
      <c r="AE224" s="5"/>
      <c r="AF224" s="30"/>
      <c r="AG224" s="30"/>
      <c r="AH224" s="30"/>
      <c r="AI224" s="30"/>
      <c r="AJ224" s="30"/>
      <c r="AK224" s="30"/>
      <c r="AL224" s="28"/>
      <c r="AM224" s="5"/>
      <c r="AN224" s="19"/>
      <c r="AO224" s="19"/>
      <c r="AP224" s="5"/>
      <c r="AQ224" s="5"/>
      <c r="AR224" s="5"/>
      <c r="AS224" s="5"/>
      <c r="AT224" s="5"/>
      <c r="AU224" s="19"/>
      <c r="AV224" s="19"/>
      <c r="AW224" s="5"/>
      <c r="AX224" s="5"/>
      <c r="AY224" s="19"/>
      <c r="AZ224" s="30"/>
      <c r="BA224" s="5"/>
      <c r="BB224" s="31" t="str">
        <f aca="false">IF(OR($T224="",$M224=""),"",$T224-$M224)</f>
        <v/>
      </c>
      <c r="BC224" s="32" t="str">
        <f aca="false">IF(OR($T224="",$M224="",$M224=0),"",($T224-$M224)/$M224)</f>
        <v/>
      </c>
      <c r="BD224" s="31" t="str">
        <f aca="false">IF(OR($U224="",$M224=""),"",$U224-$M224)</f>
        <v/>
      </c>
      <c r="BE224" s="32" t="str">
        <f aca="false">IF(OR($U224="",$M224="",$M224=0),"",($U224-$M224)/$M224)</f>
        <v/>
      </c>
      <c r="BF224" s="32" t="str">
        <f aca="false">IF(OR($U224="",$J224="",$J224=0),"",($U224-$J224)/$J224)</f>
        <v/>
      </c>
      <c r="BG224" s="32" t="str">
        <f aca="false">IF(OR($M224="",$K224="",$K224=0),"",($M224-$K224)/$K224)</f>
        <v/>
      </c>
      <c r="BH224" s="32" t="str">
        <f aca="false">IF(OR($W224="",$N224="",$N224=0),"",($W224-$N224)/$N224)</f>
        <v/>
      </c>
      <c r="BI224" s="33" t="str">
        <f aca="false">IF(OR($O224="",$X224=""),"",$O224-$X224)</f>
        <v/>
      </c>
      <c r="BJ224" s="33" t="str">
        <f aca="false">IF(OR($P224="",$Y224=""),"",$P224-$Y224)</f>
        <v/>
      </c>
      <c r="BK224" s="34" t="str">
        <f aca="false">IF(OR($AN224="",$AO224="",$AN224=0),"",$AO224/$AN224)</f>
        <v/>
      </c>
      <c r="BL224" s="34" t="str">
        <f aca="false">IF(OR($AU224="",$AV224="",$AU224=0),"",$AV224/$AU224)</f>
        <v/>
      </c>
      <c r="BM224" s="7" t="str">
        <f aca="false">IF($Z224="","",IF(AND($Z224="Y",$AB224&lt;&gt;"N",$AC224&lt;&gt;"Y"),"Y","N"))</f>
        <v/>
      </c>
      <c r="BN224" s="7" t="str">
        <f aca="false">IF($AH224="","",IF($Z224&lt;&gt;"Y","undefined",IF($AH224&lt;=1,"Y","N")))</f>
        <v/>
      </c>
      <c r="BO224" s="7" t="str">
        <f aca="false">IF($AH224="","",IF($Z224&lt;&gt;"Y","undefined",IF($AH224&lt;=10,"Y","N")))</f>
        <v/>
      </c>
      <c r="BP224" s="7" t="str">
        <f aca="false">IF($AH224="","",IF($Z224&lt;&gt;"Y","undefined",IF($AH224&lt;=100,"Y","N")))</f>
        <v/>
      </c>
    </row>
    <row r="225" customFormat="false" ht="15" hidden="false" customHeight="false" outlineLevel="0" collapsed="false">
      <c r="A225" s="7" t="str">
        <f aca="false">IF($B225="","",$B225&amp;"|"&amp;$C225&amp;"|"&amp;$F225)</f>
        <v/>
      </c>
      <c r="B225" s="5"/>
      <c r="C225" s="5"/>
      <c r="D225" s="5"/>
      <c r="E225" s="5"/>
      <c r="F225" s="5"/>
      <c r="G225" s="5"/>
      <c r="H225" s="5"/>
      <c r="I225" s="5"/>
      <c r="J225" s="20"/>
      <c r="K225" s="20"/>
      <c r="L225" s="28"/>
      <c r="M225" s="20"/>
      <c r="N225" s="28"/>
      <c r="O225" s="19"/>
      <c r="P225" s="19"/>
      <c r="Q225" s="5"/>
      <c r="R225" s="19"/>
      <c r="S225" s="5"/>
      <c r="T225" s="20"/>
      <c r="U225" s="20"/>
      <c r="V225" s="29"/>
      <c r="W225" s="28"/>
      <c r="X225" s="19"/>
      <c r="Y225" s="19"/>
      <c r="Z225" s="5"/>
      <c r="AA225" s="19"/>
      <c r="AB225" s="5"/>
      <c r="AC225" s="5"/>
      <c r="AD225" s="5"/>
      <c r="AE225" s="5"/>
      <c r="AF225" s="30"/>
      <c r="AG225" s="30"/>
      <c r="AH225" s="30"/>
      <c r="AI225" s="30"/>
      <c r="AJ225" s="30"/>
      <c r="AK225" s="30"/>
      <c r="AL225" s="28"/>
      <c r="AM225" s="5"/>
      <c r="AN225" s="19"/>
      <c r="AO225" s="19"/>
      <c r="AP225" s="5"/>
      <c r="AQ225" s="5"/>
      <c r="AR225" s="5"/>
      <c r="AS225" s="5"/>
      <c r="AT225" s="5"/>
      <c r="AU225" s="19"/>
      <c r="AV225" s="19"/>
      <c r="AW225" s="5"/>
      <c r="AX225" s="5"/>
      <c r="AY225" s="19"/>
      <c r="AZ225" s="30"/>
      <c r="BA225" s="5"/>
      <c r="BB225" s="31" t="str">
        <f aca="false">IF(OR($T225="",$M225=""),"",$T225-$M225)</f>
        <v/>
      </c>
      <c r="BC225" s="32" t="str">
        <f aca="false">IF(OR($T225="",$M225="",$M225=0),"",($T225-$M225)/$M225)</f>
        <v/>
      </c>
      <c r="BD225" s="31" t="str">
        <f aca="false">IF(OR($U225="",$M225=""),"",$U225-$M225)</f>
        <v/>
      </c>
      <c r="BE225" s="32" t="str">
        <f aca="false">IF(OR($U225="",$M225="",$M225=0),"",($U225-$M225)/$M225)</f>
        <v/>
      </c>
      <c r="BF225" s="32" t="str">
        <f aca="false">IF(OR($U225="",$J225="",$J225=0),"",($U225-$J225)/$J225)</f>
        <v/>
      </c>
      <c r="BG225" s="32" t="str">
        <f aca="false">IF(OR($M225="",$K225="",$K225=0),"",($M225-$K225)/$K225)</f>
        <v/>
      </c>
      <c r="BH225" s="32" t="str">
        <f aca="false">IF(OR($W225="",$N225="",$N225=0),"",($W225-$N225)/$N225)</f>
        <v/>
      </c>
      <c r="BI225" s="33" t="str">
        <f aca="false">IF(OR($O225="",$X225=""),"",$O225-$X225)</f>
        <v/>
      </c>
      <c r="BJ225" s="33" t="str">
        <f aca="false">IF(OR($P225="",$Y225=""),"",$P225-$Y225)</f>
        <v/>
      </c>
      <c r="BK225" s="34" t="str">
        <f aca="false">IF(OR($AN225="",$AO225="",$AN225=0),"",$AO225/$AN225)</f>
        <v/>
      </c>
      <c r="BL225" s="34" t="str">
        <f aca="false">IF(OR($AU225="",$AV225="",$AU225=0),"",$AV225/$AU225)</f>
        <v/>
      </c>
      <c r="BM225" s="7" t="str">
        <f aca="false">IF($Z225="","",IF(AND($Z225="Y",$AB225&lt;&gt;"N",$AC225&lt;&gt;"Y"),"Y","N"))</f>
        <v/>
      </c>
      <c r="BN225" s="7" t="str">
        <f aca="false">IF($AH225="","",IF($Z225&lt;&gt;"Y","undefined",IF($AH225&lt;=1,"Y","N")))</f>
        <v/>
      </c>
      <c r="BO225" s="7" t="str">
        <f aca="false">IF($AH225="","",IF($Z225&lt;&gt;"Y","undefined",IF($AH225&lt;=10,"Y","N")))</f>
        <v/>
      </c>
      <c r="BP225" s="7" t="str">
        <f aca="false">IF($AH225="","",IF($Z225&lt;&gt;"Y","undefined",IF($AH225&lt;=100,"Y","N")))</f>
        <v/>
      </c>
    </row>
    <row r="226" customFormat="false" ht="15" hidden="false" customHeight="false" outlineLevel="0" collapsed="false">
      <c r="A226" s="7" t="str">
        <f aca="false">IF($B226="","",$B226&amp;"|"&amp;$C226&amp;"|"&amp;$F226)</f>
        <v/>
      </c>
      <c r="B226" s="5"/>
      <c r="C226" s="5"/>
      <c r="D226" s="5"/>
      <c r="E226" s="5"/>
      <c r="F226" s="5"/>
      <c r="G226" s="5"/>
      <c r="H226" s="5"/>
      <c r="I226" s="5"/>
      <c r="J226" s="20"/>
      <c r="K226" s="20"/>
      <c r="L226" s="28"/>
      <c r="M226" s="20"/>
      <c r="N226" s="28"/>
      <c r="O226" s="19"/>
      <c r="P226" s="19"/>
      <c r="Q226" s="5"/>
      <c r="R226" s="19"/>
      <c r="S226" s="5"/>
      <c r="T226" s="20"/>
      <c r="U226" s="20"/>
      <c r="V226" s="29"/>
      <c r="W226" s="28"/>
      <c r="X226" s="19"/>
      <c r="Y226" s="19"/>
      <c r="Z226" s="5"/>
      <c r="AA226" s="19"/>
      <c r="AB226" s="5"/>
      <c r="AC226" s="5"/>
      <c r="AD226" s="5"/>
      <c r="AE226" s="5"/>
      <c r="AF226" s="30"/>
      <c r="AG226" s="30"/>
      <c r="AH226" s="30"/>
      <c r="AI226" s="30"/>
      <c r="AJ226" s="30"/>
      <c r="AK226" s="30"/>
      <c r="AL226" s="28"/>
      <c r="AM226" s="5"/>
      <c r="AN226" s="19"/>
      <c r="AO226" s="19"/>
      <c r="AP226" s="5"/>
      <c r="AQ226" s="5"/>
      <c r="AR226" s="5"/>
      <c r="AS226" s="5"/>
      <c r="AT226" s="5"/>
      <c r="AU226" s="19"/>
      <c r="AV226" s="19"/>
      <c r="AW226" s="5"/>
      <c r="AX226" s="5"/>
      <c r="AY226" s="19"/>
      <c r="AZ226" s="30"/>
      <c r="BA226" s="5"/>
      <c r="BB226" s="31" t="str">
        <f aca="false">IF(OR($T226="",$M226=""),"",$T226-$M226)</f>
        <v/>
      </c>
      <c r="BC226" s="32" t="str">
        <f aca="false">IF(OR($T226="",$M226="",$M226=0),"",($T226-$M226)/$M226)</f>
        <v/>
      </c>
      <c r="BD226" s="31" t="str">
        <f aca="false">IF(OR($U226="",$M226=""),"",$U226-$M226)</f>
        <v/>
      </c>
      <c r="BE226" s="32" t="str">
        <f aca="false">IF(OR($U226="",$M226="",$M226=0),"",($U226-$M226)/$M226)</f>
        <v/>
      </c>
      <c r="BF226" s="32" t="str">
        <f aca="false">IF(OR($U226="",$J226="",$J226=0),"",($U226-$J226)/$J226)</f>
        <v/>
      </c>
      <c r="BG226" s="32" t="str">
        <f aca="false">IF(OR($M226="",$K226="",$K226=0),"",($M226-$K226)/$K226)</f>
        <v/>
      </c>
      <c r="BH226" s="32" t="str">
        <f aca="false">IF(OR($W226="",$N226="",$N226=0),"",($W226-$N226)/$N226)</f>
        <v/>
      </c>
      <c r="BI226" s="33" t="str">
        <f aca="false">IF(OR($O226="",$X226=""),"",$O226-$X226)</f>
        <v/>
      </c>
      <c r="BJ226" s="33" t="str">
        <f aca="false">IF(OR($P226="",$Y226=""),"",$P226-$Y226)</f>
        <v/>
      </c>
      <c r="BK226" s="34" t="str">
        <f aca="false">IF(OR($AN226="",$AO226="",$AN226=0),"",$AO226/$AN226)</f>
        <v/>
      </c>
      <c r="BL226" s="34" t="str">
        <f aca="false">IF(OR($AU226="",$AV226="",$AU226=0),"",$AV226/$AU226)</f>
        <v/>
      </c>
      <c r="BM226" s="7" t="str">
        <f aca="false">IF($Z226="","",IF(AND($Z226="Y",$AB226&lt;&gt;"N",$AC226&lt;&gt;"Y"),"Y","N"))</f>
        <v/>
      </c>
      <c r="BN226" s="7" t="str">
        <f aca="false">IF($AH226="","",IF($Z226&lt;&gt;"Y","undefined",IF($AH226&lt;=1,"Y","N")))</f>
        <v/>
      </c>
      <c r="BO226" s="7" t="str">
        <f aca="false">IF($AH226="","",IF($Z226&lt;&gt;"Y","undefined",IF($AH226&lt;=10,"Y","N")))</f>
        <v/>
      </c>
      <c r="BP226" s="7" t="str">
        <f aca="false">IF($AH226="","",IF($Z226&lt;&gt;"Y","undefined",IF($AH226&lt;=100,"Y","N")))</f>
        <v/>
      </c>
    </row>
    <row r="227" customFormat="false" ht="15" hidden="false" customHeight="false" outlineLevel="0" collapsed="false">
      <c r="A227" s="7" t="str">
        <f aca="false">IF($B227="","",$B227&amp;"|"&amp;$C227&amp;"|"&amp;$F227)</f>
        <v/>
      </c>
      <c r="B227" s="5"/>
      <c r="C227" s="5"/>
      <c r="D227" s="5"/>
      <c r="E227" s="5"/>
      <c r="F227" s="5"/>
      <c r="G227" s="5"/>
      <c r="H227" s="5"/>
      <c r="I227" s="5"/>
      <c r="J227" s="20"/>
      <c r="K227" s="20"/>
      <c r="L227" s="28"/>
      <c r="M227" s="20"/>
      <c r="N227" s="28"/>
      <c r="O227" s="19"/>
      <c r="P227" s="19"/>
      <c r="Q227" s="5"/>
      <c r="R227" s="19"/>
      <c r="S227" s="5"/>
      <c r="T227" s="20"/>
      <c r="U227" s="20"/>
      <c r="V227" s="29"/>
      <c r="W227" s="28"/>
      <c r="X227" s="19"/>
      <c r="Y227" s="19"/>
      <c r="Z227" s="5"/>
      <c r="AA227" s="19"/>
      <c r="AB227" s="5"/>
      <c r="AC227" s="5"/>
      <c r="AD227" s="5"/>
      <c r="AE227" s="5"/>
      <c r="AF227" s="30"/>
      <c r="AG227" s="30"/>
      <c r="AH227" s="30"/>
      <c r="AI227" s="30"/>
      <c r="AJ227" s="30"/>
      <c r="AK227" s="30"/>
      <c r="AL227" s="28"/>
      <c r="AM227" s="5"/>
      <c r="AN227" s="19"/>
      <c r="AO227" s="19"/>
      <c r="AP227" s="5"/>
      <c r="AQ227" s="5"/>
      <c r="AR227" s="5"/>
      <c r="AS227" s="5"/>
      <c r="AT227" s="5"/>
      <c r="AU227" s="19"/>
      <c r="AV227" s="19"/>
      <c r="AW227" s="5"/>
      <c r="AX227" s="5"/>
      <c r="AY227" s="19"/>
      <c r="AZ227" s="30"/>
      <c r="BA227" s="5"/>
      <c r="BB227" s="31" t="str">
        <f aca="false">IF(OR($T227="",$M227=""),"",$T227-$M227)</f>
        <v/>
      </c>
      <c r="BC227" s="32" t="str">
        <f aca="false">IF(OR($T227="",$M227="",$M227=0),"",($T227-$M227)/$M227)</f>
        <v/>
      </c>
      <c r="BD227" s="31" t="str">
        <f aca="false">IF(OR($U227="",$M227=""),"",$U227-$M227)</f>
        <v/>
      </c>
      <c r="BE227" s="32" t="str">
        <f aca="false">IF(OR($U227="",$M227="",$M227=0),"",($U227-$M227)/$M227)</f>
        <v/>
      </c>
      <c r="BF227" s="32" t="str">
        <f aca="false">IF(OR($U227="",$J227="",$J227=0),"",($U227-$J227)/$J227)</f>
        <v/>
      </c>
      <c r="BG227" s="32" t="str">
        <f aca="false">IF(OR($M227="",$K227="",$K227=0),"",($M227-$K227)/$K227)</f>
        <v/>
      </c>
      <c r="BH227" s="32" t="str">
        <f aca="false">IF(OR($W227="",$N227="",$N227=0),"",($W227-$N227)/$N227)</f>
        <v/>
      </c>
      <c r="BI227" s="33" t="str">
        <f aca="false">IF(OR($O227="",$X227=""),"",$O227-$X227)</f>
        <v/>
      </c>
      <c r="BJ227" s="33" t="str">
        <f aca="false">IF(OR($P227="",$Y227=""),"",$P227-$Y227)</f>
        <v/>
      </c>
      <c r="BK227" s="34" t="str">
        <f aca="false">IF(OR($AN227="",$AO227="",$AN227=0),"",$AO227/$AN227)</f>
        <v/>
      </c>
      <c r="BL227" s="34" t="str">
        <f aca="false">IF(OR($AU227="",$AV227="",$AU227=0),"",$AV227/$AU227)</f>
        <v/>
      </c>
      <c r="BM227" s="7" t="str">
        <f aca="false">IF($Z227="","",IF(AND($Z227="Y",$AB227&lt;&gt;"N",$AC227&lt;&gt;"Y"),"Y","N"))</f>
        <v/>
      </c>
      <c r="BN227" s="7" t="str">
        <f aca="false">IF($AH227="","",IF($Z227&lt;&gt;"Y","undefined",IF($AH227&lt;=1,"Y","N")))</f>
        <v/>
      </c>
      <c r="BO227" s="7" t="str">
        <f aca="false">IF($AH227="","",IF($Z227&lt;&gt;"Y","undefined",IF($AH227&lt;=10,"Y","N")))</f>
        <v/>
      </c>
      <c r="BP227" s="7" t="str">
        <f aca="false">IF($AH227="","",IF($Z227&lt;&gt;"Y","undefined",IF($AH227&lt;=100,"Y","N")))</f>
        <v/>
      </c>
    </row>
    <row r="228" customFormat="false" ht="15" hidden="false" customHeight="false" outlineLevel="0" collapsed="false">
      <c r="A228" s="7" t="str">
        <f aca="false">IF($B228="","",$B228&amp;"|"&amp;$C228&amp;"|"&amp;$F228)</f>
        <v/>
      </c>
      <c r="B228" s="5"/>
      <c r="C228" s="5"/>
      <c r="D228" s="5"/>
      <c r="E228" s="5"/>
      <c r="F228" s="5"/>
      <c r="G228" s="5"/>
      <c r="H228" s="5"/>
      <c r="I228" s="5"/>
      <c r="J228" s="20"/>
      <c r="K228" s="20"/>
      <c r="L228" s="28"/>
      <c r="M228" s="20"/>
      <c r="N228" s="28"/>
      <c r="O228" s="19"/>
      <c r="P228" s="19"/>
      <c r="Q228" s="5"/>
      <c r="R228" s="19"/>
      <c r="S228" s="5"/>
      <c r="T228" s="20"/>
      <c r="U228" s="20"/>
      <c r="V228" s="29"/>
      <c r="W228" s="28"/>
      <c r="X228" s="19"/>
      <c r="Y228" s="19"/>
      <c r="Z228" s="5"/>
      <c r="AA228" s="19"/>
      <c r="AB228" s="5"/>
      <c r="AC228" s="5"/>
      <c r="AD228" s="5"/>
      <c r="AE228" s="5"/>
      <c r="AF228" s="30"/>
      <c r="AG228" s="30"/>
      <c r="AH228" s="30"/>
      <c r="AI228" s="30"/>
      <c r="AJ228" s="30"/>
      <c r="AK228" s="30"/>
      <c r="AL228" s="28"/>
      <c r="AM228" s="5"/>
      <c r="AN228" s="19"/>
      <c r="AO228" s="19"/>
      <c r="AP228" s="5"/>
      <c r="AQ228" s="5"/>
      <c r="AR228" s="5"/>
      <c r="AS228" s="5"/>
      <c r="AT228" s="5"/>
      <c r="AU228" s="19"/>
      <c r="AV228" s="19"/>
      <c r="AW228" s="5"/>
      <c r="AX228" s="5"/>
      <c r="AY228" s="19"/>
      <c r="AZ228" s="30"/>
      <c r="BA228" s="5"/>
      <c r="BB228" s="31" t="str">
        <f aca="false">IF(OR($T228="",$M228=""),"",$T228-$M228)</f>
        <v/>
      </c>
      <c r="BC228" s="32" t="str">
        <f aca="false">IF(OR($T228="",$M228="",$M228=0),"",($T228-$M228)/$M228)</f>
        <v/>
      </c>
      <c r="BD228" s="31" t="str">
        <f aca="false">IF(OR($U228="",$M228=""),"",$U228-$M228)</f>
        <v/>
      </c>
      <c r="BE228" s="32" t="str">
        <f aca="false">IF(OR($U228="",$M228="",$M228=0),"",($U228-$M228)/$M228)</f>
        <v/>
      </c>
      <c r="BF228" s="32" t="str">
        <f aca="false">IF(OR($U228="",$J228="",$J228=0),"",($U228-$J228)/$J228)</f>
        <v/>
      </c>
      <c r="BG228" s="32" t="str">
        <f aca="false">IF(OR($M228="",$K228="",$K228=0),"",($M228-$K228)/$K228)</f>
        <v/>
      </c>
      <c r="BH228" s="32" t="str">
        <f aca="false">IF(OR($W228="",$N228="",$N228=0),"",($W228-$N228)/$N228)</f>
        <v/>
      </c>
      <c r="BI228" s="33" t="str">
        <f aca="false">IF(OR($O228="",$X228=""),"",$O228-$X228)</f>
        <v/>
      </c>
      <c r="BJ228" s="33" t="str">
        <f aca="false">IF(OR($P228="",$Y228=""),"",$P228-$Y228)</f>
        <v/>
      </c>
      <c r="BK228" s="34" t="str">
        <f aca="false">IF(OR($AN228="",$AO228="",$AN228=0),"",$AO228/$AN228)</f>
        <v/>
      </c>
      <c r="BL228" s="34" t="str">
        <f aca="false">IF(OR($AU228="",$AV228="",$AU228=0),"",$AV228/$AU228)</f>
        <v/>
      </c>
      <c r="BM228" s="7" t="str">
        <f aca="false">IF($Z228="","",IF(AND($Z228="Y",$AB228&lt;&gt;"N",$AC228&lt;&gt;"Y"),"Y","N"))</f>
        <v/>
      </c>
      <c r="BN228" s="7" t="str">
        <f aca="false">IF($AH228="","",IF($Z228&lt;&gt;"Y","undefined",IF($AH228&lt;=1,"Y","N")))</f>
        <v/>
      </c>
      <c r="BO228" s="7" t="str">
        <f aca="false">IF($AH228="","",IF($Z228&lt;&gt;"Y","undefined",IF($AH228&lt;=10,"Y","N")))</f>
        <v/>
      </c>
      <c r="BP228" s="7" t="str">
        <f aca="false">IF($AH228="","",IF($Z228&lt;&gt;"Y","undefined",IF($AH228&lt;=100,"Y","N")))</f>
        <v/>
      </c>
    </row>
    <row r="229" customFormat="false" ht="15" hidden="false" customHeight="false" outlineLevel="0" collapsed="false">
      <c r="A229" s="7" t="str">
        <f aca="false">IF($B229="","",$B229&amp;"|"&amp;$C229&amp;"|"&amp;$F229)</f>
        <v/>
      </c>
      <c r="B229" s="5"/>
      <c r="C229" s="5"/>
      <c r="D229" s="5"/>
      <c r="E229" s="5"/>
      <c r="F229" s="5"/>
      <c r="G229" s="5"/>
      <c r="H229" s="5"/>
      <c r="I229" s="5"/>
      <c r="J229" s="20"/>
      <c r="K229" s="20"/>
      <c r="L229" s="28"/>
      <c r="M229" s="20"/>
      <c r="N229" s="28"/>
      <c r="O229" s="19"/>
      <c r="P229" s="19"/>
      <c r="Q229" s="5"/>
      <c r="R229" s="19"/>
      <c r="S229" s="5"/>
      <c r="T229" s="20"/>
      <c r="U229" s="20"/>
      <c r="V229" s="29"/>
      <c r="W229" s="28"/>
      <c r="X229" s="19"/>
      <c r="Y229" s="19"/>
      <c r="Z229" s="5"/>
      <c r="AA229" s="19"/>
      <c r="AB229" s="5"/>
      <c r="AC229" s="5"/>
      <c r="AD229" s="5"/>
      <c r="AE229" s="5"/>
      <c r="AF229" s="30"/>
      <c r="AG229" s="30"/>
      <c r="AH229" s="30"/>
      <c r="AI229" s="30"/>
      <c r="AJ229" s="30"/>
      <c r="AK229" s="30"/>
      <c r="AL229" s="28"/>
      <c r="AM229" s="5"/>
      <c r="AN229" s="19"/>
      <c r="AO229" s="19"/>
      <c r="AP229" s="5"/>
      <c r="AQ229" s="5"/>
      <c r="AR229" s="5"/>
      <c r="AS229" s="5"/>
      <c r="AT229" s="5"/>
      <c r="AU229" s="19"/>
      <c r="AV229" s="19"/>
      <c r="AW229" s="5"/>
      <c r="AX229" s="5"/>
      <c r="AY229" s="19"/>
      <c r="AZ229" s="30"/>
      <c r="BA229" s="5"/>
      <c r="BB229" s="31" t="str">
        <f aca="false">IF(OR($T229="",$M229=""),"",$T229-$M229)</f>
        <v/>
      </c>
      <c r="BC229" s="32" t="str">
        <f aca="false">IF(OR($T229="",$M229="",$M229=0),"",($T229-$M229)/$M229)</f>
        <v/>
      </c>
      <c r="BD229" s="31" t="str">
        <f aca="false">IF(OR($U229="",$M229=""),"",$U229-$M229)</f>
        <v/>
      </c>
      <c r="BE229" s="32" t="str">
        <f aca="false">IF(OR($U229="",$M229="",$M229=0),"",($U229-$M229)/$M229)</f>
        <v/>
      </c>
      <c r="BF229" s="32" t="str">
        <f aca="false">IF(OR($U229="",$J229="",$J229=0),"",($U229-$J229)/$J229)</f>
        <v/>
      </c>
      <c r="BG229" s="32" t="str">
        <f aca="false">IF(OR($M229="",$K229="",$K229=0),"",($M229-$K229)/$K229)</f>
        <v/>
      </c>
      <c r="BH229" s="32" t="str">
        <f aca="false">IF(OR($W229="",$N229="",$N229=0),"",($W229-$N229)/$N229)</f>
        <v/>
      </c>
      <c r="BI229" s="33" t="str">
        <f aca="false">IF(OR($O229="",$X229=""),"",$O229-$X229)</f>
        <v/>
      </c>
      <c r="BJ229" s="33" t="str">
        <f aca="false">IF(OR($P229="",$Y229=""),"",$P229-$Y229)</f>
        <v/>
      </c>
      <c r="BK229" s="34" t="str">
        <f aca="false">IF(OR($AN229="",$AO229="",$AN229=0),"",$AO229/$AN229)</f>
        <v/>
      </c>
      <c r="BL229" s="34" t="str">
        <f aca="false">IF(OR($AU229="",$AV229="",$AU229=0),"",$AV229/$AU229)</f>
        <v/>
      </c>
      <c r="BM229" s="7" t="str">
        <f aca="false">IF($Z229="","",IF(AND($Z229="Y",$AB229&lt;&gt;"N",$AC229&lt;&gt;"Y"),"Y","N"))</f>
        <v/>
      </c>
      <c r="BN229" s="7" t="str">
        <f aca="false">IF($AH229="","",IF($Z229&lt;&gt;"Y","undefined",IF($AH229&lt;=1,"Y","N")))</f>
        <v/>
      </c>
      <c r="BO229" s="7" t="str">
        <f aca="false">IF($AH229="","",IF($Z229&lt;&gt;"Y","undefined",IF($AH229&lt;=10,"Y","N")))</f>
        <v/>
      </c>
      <c r="BP229" s="7" t="str">
        <f aca="false">IF($AH229="","",IF($Z229&lt;&gt;"Y","undefined",IF($AH229&lt;=100,"Y","N")))</f>
        <v/>
      </c>
    </row>
    <row r="230" customFormat="false" ht="15" hidden="false" customHeight="false" outlineLevel="0" collapsed="false">
      <c r="A230" s="7" t="str">
        <f aca="false">IF($B230="","",$B230&amp;"|"&amp;$C230&amp;"|"&amp;$F230)</f>
        <v/>
      </c>
      <c r="B230" s="5"/>
      <c r="C230" s="5"/>
      <c r="D230" s="5"/>
      <c r="E230" s="5"/>
      <c r="F230" s="5"/>
      <c r="G230" s="5"/>
      <c r="H230" s="5"/>
      <c r="I230" s="5"/>
      <c r="J230" s="20"/>
      <c r="K230" s="20"/>
      <c r="L230" s="28"/>
      <c r="M230" s="20"/>
      <c r="N230" s="28"/>
      <c r="O230" s="19"/>
      <c r="P230" s="19"/>
      <c r="Q230" s="5"/>
      <c r="R230" s="19"/>
      <c r="S230" s="5"/>
      <c r="T230" s="20"/>
      <c r="U230" s="20"/>
      <c r="V230" s="29"/>
      <c r="W230" s="28"/>
      <c r="X230" s="19"/>
      <c r="Y230" s="19"/>
      <c r="Z230" s="5"/>
      <c r="AA230" s="19"/>
      <c r="AB230" s="5"/>
      <c r="AC230" s="5"/>
      <c r="AD230" s="5"/>
      <c r="AE230" s="5"/>
      <c r="AF230" s="30"/>
      <c r="AG230" s="30"/>
      <c r="AH230" s="30"/>
      <c r="AI230" s="30"/>
      <c r="AJ230" s="30"/>
      <c r="AK230" s="30"/>
      <c r="AL230" s="28"/>
      <c r="AM230" s="5"/>
      <c r="AN230" s="19"/>
      <c r="AO230" s="19"/>
      <c r="AP230" s="5"/>
      <c r="AQ230" s="5"/>
      <c r="AR230" s="5"/>
      <c r="AS230" s="5"/>
      <c r="AT230" s="5"/>
      <c r="AU230" s="19"/>
      <c r="AV230" s="19"/>
      <c r="AW230" s="5"/>
      <c r="AX230" s="5"/>
      <c r="AY230" s="19"/>
      <c r="AZ230" s="30"/>
      <c r="BA230" s="5"/>
      <c r="BB230" s="31" t="str">
        <f aca="false">IF(OR($T230="",$M230=""),"",$T230-$M230)</f>
        <v/>
      </c>
      <c r="BC230" s="32" t="str">
        <f aca="false">IF(OR($T230="",$M230="",$M230=0),"",($T230-$M230)/$M230)</f>
        <v/>
      </c>
      <c r="BD230" s="31" t="str">
        <f aca="false">IF(OR($U230="",$M230=""),"",$U230-$M230)</f>
        <v/>
      </c>
      <c r="BE230" s="32" t="str">
        <f aca="false">IF(OR($U230="",$M230="",$M230=0),"",($U230-$M230)/$M230)</f>
        <v/>
      </c>
      <c r="BF230" s="32" t="str">
        <f aca="false">IF(OR($U230="",$J230="",$J230=0),"",($U230-$J230)/$J230)</f>
        <v/>
      </c>
      <c r="BG230" s="32" t="str">
        <f aca="false">IF(OR($M230="",$K230="",$K230=0),"",($M230-$K230)/$K230)</f>
        <v/>
      </c>
      <c r="BH230" s="32" t="str">
        <f aca="false">IF(OR($W230="",$N230="",$N230=0),"",($W230-$N230)/$N230)</f>
        <v/>
      </c>
      <c r="BI230" s="33" t="str">
        <f aca="false">IF(OR($O230="",$X230=""),"",$O230-$X230)</f>
        <v/>
      </c>
      <c r="BJ230" s="33" t="str">
        <f aca="false">IF(OR($P230="",$Y230=""),"",$P230-$Y230)</f>
        <v/>
      </c>
      <c r="BK230" s="34" t="str">
        <f aca="false">IF(OR($AN230="",$AO230="",$AN230=0),"",$AO230/$AN230)</f>
        <v/>
      </c>
      <c r="BL230" s="34" t="str">
        <f aca="false">IF(OR($AU230="",$AV230="",$AU230=0),"",$AV230/$AU230)</f>
        <v/>
      </c>
      <c r="BM230" s="7" t="str">
        <f aca="false">IF($Z230="","",IF(AND($Z230="Y",$AB230&lt;&gt;"N",$AC230&lt;&gt;"Y"),"Y","N"))</f>
        <v/>
      </c>
      <c r="BN230" s="7" t="str">
        <f aca="false">IF($AH230="","",IF($Z230&lt;&gt;"Y","undefined",IF($AH230&lt;=1,"Y","N")))</f>
        <v/>
      </c>
      <c r="BO230" s="7" t="str">
        <f aca="false">IF($AH230="","",IF($Z230&lt;&gt;"Y","undefined",IF($AH230&lt;=10,"Y","N")))</f>
        <v/>
      </c>
      <c r="BP230" s="7" t="str">
        <f aca="false">IF($AH230="","",IF($Z230&lt;&gt;"Y","undefined",IF($AH230&lt;=100,"Y","N")))</f>
        <v/>
      </c>
    </row>
    <row r="231" customFormat="false" ht="15" hidden="false" customHeight="false" outlineLevel="0" collapsed="false">
      <c r="A231" s="7" t="str">
        <f aca="false">IF($B231="","",$B231&amp;"|"&amp;$C231&amp;"|"&amp;$F231)</f>
        <v/>
      </c>
      <c r="B231" s="5"/>
      <c r="C231" s="5"/>
      <c r="D231" s="5"/>
      <c r="E231" s="5"/>
      <c r="F231" s="5"/>
      <c r="G231" s="5"/>
      <c r="H231" s="5"/>
      <c r="I231" s="5"/>
      <c r="J231" s="20"/>
      <c r="K231" s="20"/>
      <c r="L231" s="28"/>
      <c r="M231" s="20"/>
      <c r="N231" s="28"/>
      <c r="O231" s="19"/>
      <c r="P231" s="19"/>
      <c r="Q231" s="5"/>
      <c r="R231" s="19"/>
      <c r="S231" s="5"/>
      <c r="T231" s="20"/>
      <c r="U231" s="20"/>
      <c r="V231" s="29"/>
      <c r="W231" s="28"/>
      <c r="X231" s="19"/>
      <c r="Y231" s="19"/>
      <c r="Z231" s="5"/>
      <c r="AA231" s="19"/>
      <c r="AB231" s="5"/>
      <c r="AC231" s="5"/>
      <c r="AD231" s="5"/>
      <c r="AE231" s="5"/>
      <c r="AF231" s="30"/>
      <c r="AG231" s="30"/>
      <c r="AH231" s="30"/>
      <c r="AI231" s="30"/>
      <c r="AJ231" s="30"/>
      <c r="AK231" s="30"/>
      <c r="AL231" s="28"/>
      <c r="AM231" s="5"/>
      <c r="AN231" s="19"/>
      <c r="AO231" s="19"/>
      <c r="AP231" s="5"/>
      <c r="AQ231" s="5"/>
      <c r="AR231" s="5"/>
      <c r="AS231" s="5"/>
      <c r="AT231" s="5"/>
      <c r="AU231" s="19"/>
      <c r="AV231" s="19"/>
      <c r="AW231" s="5"/>
      <c r="AX231" s="5"/>
      <c r="AY231" s="19"/>
      <c r="AZ231" s="30"/>
      <c r="BA231" s="5"/>
      <c r="BB231" s="31" t="str">
        <f aca="false">IF(OR($T231="",$M231=""),"",$T231-$M231)</f>
        <v/>
      </c>
      <c r="BC231" s="32" t="str">
        <f aca="false">IF(OR($T231="",$M231="",$M231=0),"",($T231-$M231)/$M231)</f>
        <v/>
      </c>
      <c r="BD231" s="31" t="str">
        <f aca="false">IF(OR($U231="",$M231=""),"",$U231-$M231)</f>
        <v/>
      </c>
      <c r="BE231" s="32" t="str">
        <f aca="false">IF(OR($U231="",$M231="",$M231=0),"",($U231-$M231)/$M231)</f>
        <v/>
      </c>
      <c r="BF231" s="32" t="str">
        <f aca="false">IF(OR($U231="",$J231="",$J231=0),"",($U231-$J231)/$J231)</f>
        <v/>
      </c>
      <c r="BG231" s="32" t="str">
        <f aca="false">IF(OR($M231="",$K231="",$K231=0),"",($M231-$K231)/$K231)</f>
        <v/>
      </c>
      <c r="BH231" s="32" t="str">
        <f aca="false">IF(OR($W231="",$N231="",$N231=0),"",($W231-$N231)/$N231)</f>
        <v/>
      </c>
      <c r="BI231" s="33" t="str">
        <f aca="false">IF(OR($O231="",$X231=""),"",$O231-$X231)</f>
        <v/>
      </c>
      <c r="BJ231" s="33" t="str">
        <f aca="false">IF(OR($P231="",$Y231=""),"",$P231-$Y231)</f>
        <v/>
      </c>
      <c r="BK231" s="34" t="str">
        <f aca="false">IF(OR($AN231="",$AO231="",$AN231=0),"",$AO231/$AN231)</f>
        <v/>
      </c>
      <c r="BL231" s="34" t="str">
        <f aca="false">IF(OR($AU231="",$AV231="",$AU231=0),"",$AV231/$AU231)</f>
        <v/>
      </c>
      <c r="BM231" s="7" t="str">
        <f aca="false">IF($Z231="","",IF(AND($Z231="Y",$AB231&lt;&gt;"N",$AC231&lt;&gt;"Y"),"Y","N"))</f>
        <v/>
      </c>
      <c r="BN231" s="7" t="str">
        <f aca="false">IF($AH231="","",IF($Z231&lt;&gt;"Y","undefined",IF($AH231&lt;=1,"Y","N")))</f>
        <v/>
      </c>
      <c r="BO231" s="7" t="str">
        <f aca="false">IF($AH231="","",IF($Z231&lt;&gt;"Y","undefined",IF($AH231&lt;=10,"Y","N")))</f>
        <v/>
      </c>
      <c r="BP231" s="7" t="str">
        <f aca="false">IF($AH231="","",IF($Z231&lt;&gt;"Y","undefined",IF($AH231&lt;=100,"Y","N")))</f>
        <v/>
      </c>
    </row>
    <row r="232" customFormat="false" ht="15" hidden="false" customHeight="false" outlineLevel="0" collapsed="false">
      <c r="A232" s="7" t="str">
        <f aca="false">IF($B232="","",$B232&amp;"|"&amp;$C232&amp;"|"&amp;$F232)</f>
        <v/>
      </c>
      <c r="B232" s="5"/>
      <c r="C232" s="5"/>
      <c r="D232" s="5"/>
      <c r="E232" s="5"/>
      <c r="F232" s="5"/>
      <c r="G232" s="5"/>
      <c r="H232" s="5"/>
      <c r="I232" s="5"/>
      <c r="J232" s="20"/>
      <c r="K232" s="20"/>
      <c r="L232" s="28"/>
      <c r="M232" s="20"/>
      <c r="N232" s="28"/>
      <c r="O232" s="19"/>
      <c r="P232" s="19"/>
      <c r="Q232" s="5"/>
      <c r="R232" s="19"/>
      <c r="S232" s="5"/>
      <c r="T232" s="20"/>
      <c r="U232" s="20"/>
      <c r="V232" s="29"/>
      <c r="W232" s="28"/>
      <c r="X232" s="19"/>
      <c r="Y232" s="19"/>
      <c r="Z232" s="5"/>
      <c r="AA232" s="19"/>
      <c r="AB232" s="5"/>
      <c r="AC232" s="5"/>
      <c r="AD232" s="5"/>
      <c r="AE232" s="5"/>
      <c r="AF232" s="30"/>
      <c r="AG232" s="30"/>
      <c r="AH232" s="30"/>
      <c r="AI232" s="30"/>
      <c r="AJ232" s="30"/>
      <c r="AK232" s="30"/>
      <c r="AL232" s="28"/>
      <c r="AM232" s="5"/>
      <c r="AN232" s="19"/>
      <c r="AO232" s="19"/>
      <c r="AP232" s="5"/>
      <c r="AQ232" s="5"/>
      <c r="AR232" s="5"/>
      <c r="AS232" s="5"/>
      <c r="AT232" s="5"/>
      <c r="AU232" s="19"/>
      <c r="AV232" s="19"/>
      <c r="AW232" s="5"/>
      <c r="AX232" s="5"/>
      <c r="AY232" s="19"/>
      <c r="AZ232" s="30"/>
      <c r="BA232" s="5"/>
      <c r="BB232" s="31" t="str">
        <f aca="false">IF(OR($T232="",$M232=""),"",$T232-$M232)</f>
        <v/>
      </c>
      <c r="BC232" s="32" t="str">
        <f aca="false">IF(OR($T232="",$M232="",$M232=0),"",($T232-$M232)/$M232)</f>
        <v/>
      </c>
      <c r="BD232" s="31" t="str">
        <f aca="false">IF(OR($U232="",$M232=""),"",$U232-$M232)</f>
        <v/>
      </c>
      <c r="BE232" s="32" t="str">
        <f aca="false">IF(OR($U232="",$M232="",$M232=0),"",($U232-$M232)/$M232)</f>
        <v/>
      </c>
      <c r="BF232" s="32" t="str">
        <f aca="false">IF(OR($U232="",$J232="",$J232=0),"",($U232-$J232)/$J232)</f>
        <v/>
      </c>
      <c r="BG232" s="32" t="str">
        <f aca="false">IF(OR($M232="",$K232="",$K232=0),"",($M232-$K232)/$K232)</f>
        <v/>
      </c>
      <c r="BH232" s="32" t="str">
        <f aca="false">IF(OR($W232="",$N232="",$N232=0),"",($W232-$N232)/$N232)</f>
        <v/>
      </c>
      <c r="BI232" s="33" t="str">
        <f aca="false">IF(OR($O232="",$X232=""),"",$O232-$X232)</f>
        <v/>
      </c>
      <c r="BJ232" s="33" t="str">
        <f aca="false">IF(OR($P232="",$Y232=""),"",$P232-$Y232)</f>
        <v/>
      </c>
      <c r="BK232" s="34" t="str">
        <f aca="false">IF(OR($AN232="",$AO232="",$AN232=0),"",$AO232/$AN232)</f>
        <v/>
      </c>
      <c r="BL232" s="34" t="str">
        <f aca="false">IF(OR($AU232="",$AV232="",$AU232=0),"",$AV232/$AU232)</f>
        <v/>
      </c>
      <c r="BM232" s="7" t="str">
        <f aca="false">IF($Z232="","",IF(AND($Z232="Y",$AB232&lt;&gt;"N",$AC232&lt;&gt;"Y"),"Y","N"))</f>
        <v/>
      </c>
      <c r="BN232" s="7" t="str">
        <f aca="false">IF($AH232="","",IF($Z232&lt;&gt;"Y","undefined",IF($AH232&lt;=1,"Y","N")))</f>
        <v/>
      </c>
      <c r="BO232" s="7" t="str">
        <f aca="false">IF($AH232="","",IF($Z232&lt;&gt;"Y","undefined",IF($AH232&lt;=10,"Y","N")))</f>
        <v/>
      </c>
      <c r="BP232" s="7" t="str">
        <f aca="false">IF($AH232="","",IF($Z232&lt;&gt;"Y","undefined",IF($AH232&lt;=100,"Y","N")))</f>
        <v/>
      </c>
    </row>
    <row r="233" customFormat="false" ht="15" hidden="false" customHeight="false" outlineLevel="0" collapsed="false">
      <c r="A233" s="7" t="str">
        <f aca="false">IF($B233="","",$B233&amp;"|"&amp;$C233&amp;"|"&amp;$F233)</f>
        <v/>
      </c>
      <c r="B233" s="5"/>
      <c r="C233" s="5"/>
      <c r="D233" s="5"/>
      <c r="E233" s="5"/>
      <c r="F233" s="5"/>
      <c r="G233" s="5"/>
      <c r="H233" s="5"/>
      <c r="I233" s="5"/>
      <c r="J233" s="20"/>
      <c r="K233" s="20"/>
      <c r="L233" s="28"/>
      <c r="M233" s="20"/>
      <c r="N233" s="28"/>
      <c r="O233" s="19"/>
      <c r="P233" s="19"/>
      <c r="Q233" s="5"/>
      <c r="R233" s="19"/>
      <c r="S233" s="5"/>
      <c r="T233" s="20"/>
      <c r="U233" s="20"/>
      <c r="V233" s="29"/>
      <c r="W233" s="28"/>
      <c r="X233" s="19"/>
      <c r="Y233" s="19"/>
      <c r="Z233" s="5"/>
      <c r="AA233" s="19"/>
      <c r="AB233" s="5"/>
      <c r="AC233" s="5"/>
      <c r="AD233" s="5"/>
      <c r="AE233" s="5"/>
      <c r="AF233" s="30"/>
      <c r="AG233" s="30"/>
      <c r="AH233" s="30"/>
      <c r="AI233" s="30"/>
      <c r="AJ233" s="30"/>
      <c r="AK233" s="30"/>
      <c r="AL233" s="28"/>
      <c r="AM233" s="5"/>
      <c r="AN233" s="19"/>
      <c r="AO233" s="19"/>
      <c r="AP233" s="5"/>
      <c r="AQ233" s="5"/>
      <c r="AR233" s="5"/>
      <c r="AS233" s="5"/>
      <c r="AT233" s="5"/>
      <c r="AU233" s="19"/>
      <c r="AV233" s="19"/>
      <c r="AW233" s="5"/>
      <c r="AX233" s="5"/>
      <c r="AY233" s="19"/>
      <c r="AZ233" s="30"/>
      <c r="BA233" s="5"/>
      <c r="BB233" s="31" t="str">
        <f aca="false">IF(OR($T233="",$M233=""),"",$T233-$M233)</f>
        <v/>
      </c>
      <c r="BC233" s="32" t="str">
        <f aca="false">IF(OR($T233="",$M233="",$M233=0),"",($T233-$M233)/$M233)</f>
        <v/>
      </c>
      <c r="BD233" s="31" t="str">
        <f aca="false">IF(OR($U233="",$M233=""),"",$U233-$M233)</f>
        <v/>
      </c>
      <c r="BE233" s="32" t="str">
        <f aca="false">IF(OR($U233="",$M233="",$M233=0),"",($U233-$M233)/$M233)</f>
        <v/>
      </c>
      <c r="BF233" s="32" t="str">
        <f aca="false">IF(OR($U233="",$J233="",$J233=0),"",($U233-$J233)/$J233)</f>
        <v/>
      </c>
      <c r="BG233" s="32" t="str">
        <f aca="false">IF(OR($M233="",$K233="",$K233=0),"",($M233-$K233)/$K233)</f>
        <v/>
      </c>
      <c r="BH233" s="32" t="str">
        <f aca="false">IF(OR($W233="",$N233="",$N233=0),"",($W233-$N233)/$N233)</f>
        <v/>
      </c>
      <c r="BI233" s="33" t="str">
        <f aca="false">IF(OR($O233="",$X233=""),"",$O233-$X233)</f>
        <v/>
      </c>
      <c r="BJ233" s="33" t="str">
        <f aca="false">IF(OR($P233="",$Y233=""),"",$P233-$Y233)</f>
        <v/>
      </c>
      <c r="BK233" s="34" t="str">
        <f aca="false">IF(OR($AN233="",$AO233="",$AN233=0),"",$AO233/$AN233)</f>
        <v/>
      </c>
      <c r="BL233" s="34" t="str">
        <f aca="false">IF(OR($AU233="",$AV233="",$AU233=0),"",$AV233/$AU233)</f>
        <v/>
      </c>
      <c r="BM233" s="7" t="str">
        <f aca="false">IF($Z233="","",IF(AND($Z233="Y",$AB233&lt;&gt;"N",$AC233&lt;&gt;"Y"),"Y","N"))</f>
        <v/>
      </c>
      <c r="BN233" s="7" t="str">
        <f aca="false">IF($AH233="","",IF($Z233&lt;&gt;"Y","undefined",IF($AH233&lt;=1,"Y","N")))</f>
        <v/>
      </c>
      <c r="BO233" s="7" t="str">
        <f aca="false">IF($AH233="","",IF($Z233&lt;&gt;"Y","undefined",IF($AH233&lt;=10,"Y","N")))</f>
        <v/>
      </c>
      <c r="BP233" s="7" t="str">
        <f aca="false">IF($AH233="","",IF($Z233&lt;&gt;"Y","undefined",IF($AH233&lt;=100,"Y","N")))</f>
        <v/>
      </c>
    </row>
    <row r="234" customFormat="false" ht="15" hidden="false" customHeight="false" outlineLevel="0" collapsed="false">
      <c r="A234" s="7" t="str">
        <f aca="false">IF($B234="","",$B234&amp;"|"&amp;$C234&amp;"|"&amp;$F234)</f>
        <v/>
      </c>
      <c r="B234" s="5"/>
      <c r="C234" s="5"/>
      <c r="D234" s="5"/>
      <c r="E234" s="5"/>
      <c r="F234" s="5"/>
      <c r="G234" s="5"/>
      <c r="H234" s="5"/>
      <c r="I234" s="5"/>
      <c r="J234" s="20"/>
      <c r="K234" s="20"/>
      <c r="L234" s="28"/>
      <c r="M234" s="20"/>
      <c r="N234" s="28"/>
      <c r="O234" s="19"/>
      <c r="P234" s="19"/>
      <c r="Q234" s="5"/>
      <c r="R234" s="19"/>
      <c r="S234" s="5"/>
      <c r="T234" s="20"/>
      <c r="U234" s="20"/>
      <c r="V234" s="29"/>
      <c r="W234" s="28"/>
      <c r="X234" s="19"/>
      <c r="Y234" s="19"/>
      <c r="Z234" s="5"/>
      <c r="AA234" s="19"/>
      <c r="AB234" s="5"/>
      <c r="AC234" s="5"/>
      <c r="AD234" s="5"/>
      <c r="AE234" s="5"/>
      <c r="AF234" s="30"/>
      <c r="AG234" s="30"/>
      <c r="AH234" s="30"/>
      <c r="AI234" s="30"/>
      <c r="AJ234" s="30"/>
      <c r="AK234" s="30"/>
      <c r="AL234" s="28"/>
      <c r="AM234" s="5"/>
      <c r="AN234" s="19"/>
      <c r="AO234" s="19"/>
      <c r="AP234" s="5"/>
      <c r="AQ234" s="5"/>
      <c r="AR234" s="5"/>
      <c r="AS234" s="5"/>
      <c r="AT234" s="5"/>
      <c r="AU234" s="19"/>
      <c r="AV234" s="19"/>
      <c r="AW234" s="5"/>
      <c r="AX234" s="5"/>
      <c r="AY234" s="19"/>
      <c r="AZ234" s="30"/>
      <c r="BA234" s="5"/>
      <c r="BB234" s="31" t="str">
        <f aca="false">IF(OR($T234="",$M234=""),"",$T234-$M234)</f>
        <v/>
      </c>
      <c r="BC234" s="32" t="str">
        <f aca="false">IF(OR($T234="",$M234="",$M234=0),"",($T234-$M234)/$M234)</f>
        <v/>
      </c>
      <c r="BD234" s="31" t="str">
        <f aca="false">IF(OR($U234="",$M234=""),"",$U234-$M234)</f>
        <v/>
      </c>
      <c r="BE234" s="32" t="str">
        <f aca="false">IF(OR($U234="",$M234="",$M234=0),"",($U234-$M234)/$M234)</f>
        <v/>
      </c>
      <c r="BF234" s="32" t="str">
        <f aca="false">IF(OR($U234="",$J234="",$J234=0),"",($U234-$J234)/$J234)</f>
        <v/>
      </c>
      <c r="BG234" s="32" t="str">
        <f aca="false">IF(OR($M234="",$K234="",$K234=0),"",($M234-$K234)/$K234)</f>
        <v/>
      </c>
      <c r="BH234" s="32" t="str">
        <f aca="false">IF(OR($W234="",$N234="",$N234=0),"",($W234-$N234)/$N234)</f>
        <v/>
      </c>
      <c r="BI234" s="33" t="str">
        <f aca="false">IF(OR($O234="",$X234=""),"",$O234-$X234)</f>
        <v/>
      </c>
      <c r="BJ234" s="33" t="str">
        <f aca="false">IF(OR($P234="",$Y234=""),"",$P234-$Y234)</f>
        <v/>
      </c>
      <c r="BK234" s="34" t="str">
        <f aca="false">IF(OR($AN234="",$AO234="",$AN234=0),"",$AO234/$AN234)</f>
        <v/>
      </c>
      <c r="BL234" s="34" t="str">
        <f aca="false">IF(OR($AU234="",$AV234="",$AU234=0),"",$AV234/$AU234)</f>
        <v/>
      </c>
      <c r="BM234" s="7" t="str">
        <f aca="false">IF($Z234="","",IF(AND($Z234="Y",$AB234&lt;&gt;"N",$AC234&lt;&gt;"Y"),"Y","N"))</f>
        <v/>
      </c>
      <c r="BN234" s="7" t="str">
        <f aca="false">IF($AH234="","",IF($Z234&lt;&gt;"Y","undefined",IF($AH234&lt;=1,"Y","N")))</f>
        <v/>
      </c>
      <c r="BO234" s="7" t="str">
        <f aca="false">IF($AH234="","",IF($Z234&lt;&gt;"Y","undefined",IF($AH234&lt;=10,"Y","N")))</f>
        <v/>
      </c>
      <c r="BP234" s="7" t="str">
        <f aca="false">IF($AH234="","",IF($Z234&lt;&gt;"Y","undefined",IF($AH234&lt;=100,"Y","N")))</f>
        <v/>
      </c>
    </row>
    <row r="235" customFormat="false" ht="15" hidden="false" customHeight="false" outlineLevel="0" collapsed="false">
      <c r="A235" s="7" t="str">
        <f aca="false">IF($B235="","",$B235&amp;"|"&amp;$C235&amp;"|"&amp;$F235)</f>
        <v/>
      </c>
      <c r="B235" s="5"/>
      <c r="C235" s="5"/>
      <c r="D235" s="5"/>
      <c r="E235" s="5"/>
      <c r="F235" s="5"/>
      <c r="G235" s="5"/>
      <c r="H235" s="5"/>
      <c r="I235" s="5"/>
      <c r="J235" s="20"/>
      <c r="K235" s="20"/>
      <c r="L235" s="28"/>
      <c r="M235" s="20"/>
      <c r="N235" s="28"/>
      <c r="O235" s="19"/>
      <c r="P235" s="19"/>
      <c r="Q235" s="5"/>
      <c r="R235" s="19"/>
      <c r="S235" s="5"/>
      <c r="T235" s="20"/>
      <c r="U235" s="20"/>
      <c r="V235" s="29"/>
      <c r="W235" s="28"/>
      <c r="X235" s="19"/>
      <c r="Y235" s="19"/>
      <c r="Z235" s="5"/>
      <c r="AA235" s="19"/>
      <c r="AB235" s="5"/>
      <c r="AC235" s="5"/>
      <c r="AD235" s="5"/>
      <c r="AE235" s="5"/>
      <c r="AF235" s="30"/>
      <c r="AG235" s="30"/>
      <c r="AH235" s="30"/>
      <c r="AI235" s="30"/>
      <c r="AJ235" s="30"/>
      <c r="AK235" s="30"/>
      <c r="AL235" s="28"/>
      <c r="AM235" s="5"/>
      <c r="AN235" s="19"/>
      <c r="AO235" s="19"/>
      <c r="AP235" s="5"/>
      <c r="AQ235" s="5"/>
      <c r="AR235" s="5"/>
      <c r="AS235" s="5"/>
      <c r="AT235" s="5"/>
      <c r="AU235" s="19"/>
      <c r="AV235" s="19"/>
      <c r="AW235" s="5"/>
      <c r="AX235" s="5"/>
      <c r="AY235" s="19"/>
      <c r="AZ235" s="30"/>
      <c r="BA235" s="5"/>
      <c r="BB235" s="31" t="str">
        <f aca="false">IF(OR($T235="",$M235=""),"",$T235-$M235)</f>
        <v/>
      </c>
      <c r="BC235" s="32" t="str">
        <f aca="false">IF(OR($T235="",$M235="",$M235=0),"",($T235-$M235)/$M235)</f>
        <v/>
      </c>
      <c r="BD235" s="31" t="str">
        <f aca="false">IF(OR($U235="",$M235=""),"",$U235-$M235)</f>
        <v/>
      </c>
      <c r="BE235" s="32" t="str">
        <f aca="false">IF(OR($U235="",$M235="",$M235=0),"",($U235-$M235)/$M235)</f>
        <v/>
      </c>
      <c r="BF235" s="32" t="str">
        <f aca="false">IF(OR($U235="",$J235="",$J235=0),"",($U235-$J235)/$J235)</f>
        <v/>
      </c>
      <c r="BG235" s="32" t="str">
        <f aca="false">IF(OR($M235="",$K235="",$K235=0),"",($M235-$K235)/$K235)</f>
        <v/>
      </c>
      <c r="BH235" s="32" t="str">
        <f aca="false">IF(OR($W235="",$N235="",$N235=0),"",($W235-$N235)/$N235)</f>
        <v/>
      </c>
      <c r="BI235" s="33" t="str">
        <f aca="false">IF(OR($O235="",$X235=""),"",$O235-$X235)</f>
        <v/>
      </c>
      <c r="BJ235" s="33" t="str">
        <f aca="false">IF(OR($P235="",$Y235=""),"",$P235-$Y235)</f>
        <v/>
      </c>
      <c r="BK235" s="34" t="str">
        <f aca="false">IF(OR($AN235="",$AO235="",$AN235=0),"",$AO235/$AN235)</f>
        <v/>
      </c>
      <c r="BL235" s="34" t="str">
        <f aca="false">IF(OR($AU235="",$AV235="",$AU235=0),"",$AV235/$AU235)</f>
        <v/>
      </c>
      <c r="BM235" s="7" t="str">
        <f aca="false">IF($Z235="","",IF(AND($Z235="Y",$AB235&lt;&gt;"N",$AC235&lt;&gt;"Y"),"Y","N"))</f>
        <v/>
      </c>
      <c r="BN235" s="7" t="str">
        <f aca="false">IF($AH235="","",IF($Z235&lt;&gt;"Y","undefined",IF($AH235&lt;=1,"Y","N")))</f>
        <v/>
      </c>
      <c r="BO235" s="7" t="str">
        <f aca="false">IF($AH235="","",IF($Z235&lt;&gt;"Y","undefined",IF($AH235&lt;=10,"Y","N")))</f>
        <v/>
      </c>
      <c r="BP235" s="7" t="str">
        <f aca="false">IF($AH235="","",IF($Z235&lt;&gt;"Y","undefined",IF($AH235&lt;=100,"Y","N")))</f>
        <v/>
      </c>
    </row>
    <row r="236" customFormat="false" ht="15" hidden="false" customHeight="false" outlineLevel="0" collapsed="false">
      <c r="A236" s="7" t="str">
        <f aca="false">IF($B236="","",$B236&amp;"|"&amp;$C236&amp;"|"&amp;$F236)</f>
        <v/>
      </c>
      <c r="B236" s="5"/>
      <c r="C236" s="5"/>
      <c r="D236" s="5"/>
      <c r="E236" s="5"/>
      <c r="F236" s="5"/>
      <c r="G236" s="5"/>
      <c r="H236" s="5"/>
      <c r="I236" s="5"/>
      <c r="J236" s="20"/>
      <c r="K236" s="20"/>
      <c r="L236" s="28"/>
      <c r="M236" s="20"/>
      <c r="N236" s="28"/>
      <c r="O236" s="19"/>
      <c r="P236" s="19"/>
      <c r="Q236" s="5"/>
      <c r="R236" s="19"/>
      <c r="S236" s="5"/>
      <c r="T236" s="20"/>
      <c r="U236" s="20"/>
      <c r="V236" s="29"/>
      <c r="W236" s="28"/>
      <c r="X236" s="19"/>
      <c r="Y236" s="19"/>
      <c r="Z236" s="5"/>
      <c r="AA236" s="19"/>
      <c r="AB236" s="5"/>
      <c r="AC236" s="5"/>
      <c r="AD236" s="5"/>
      <c r="AE236" s="5"/>
      <c r="AF236" s="30"/>
      <c r="AG236" s="30"/>
      <c r="AH236" s="30"/>
      <c r="AI236" s="30"/>
      <c r="AJ236" s="30"/>
      <c r="AK236" s="30"/>
      <c r="AL236" s="28"/>
      <c r="AM236" s="5"/>
      <c r="AN236" s="19"/>
      <c r="AO236" s="19"/>
      <c r="AP236" s="5"/>
      <c r="AQ236" s="5"/>
      <c r="AR236" s="5"/>
      <c r="AS236" s="5"/>
      <c r="AT236" s="5"/>
      <c r="AU236" s="19"/>
      <c r="AV236" s="19"/>
      <c r="AW236" s="5"/>
      <c r="AX236" s="5"/>
      <c r="AY236" s="19"/>
      <c r="AZ236" s="30"/>
      <c r="BA236" s="5"/>
      <c r="BB236" s="31" t="str">
        <f aca="false">IF(OR($T236="",$M236=""),"",$T236-$M236)</f>
        <v/>
      </c>
      <c r="BC236" s="32" t="str">
        <f aca="false">IF(OR($T236="",$M236="",$M236=0),"",($T236-$M236)/$M236)</f>
        <v/>
      </c>
      <c r="BD236" s="31" t="str">
        <f aca="false">IF(OR($U236="",$M236=""),"",$U236-$M236)</f>
        <v/>
      </c>
      <c r="BE236" s="32" t="str">
        <f aca="false">IF(OR($U236="",$M236="",$M236=0),"",($U236-$M236)/$M236)</f>
        <v/>
      </c>
      <c r="BF236" s="32" t="str">
        <f aca="false">IF(OR($U236="",$J236="",$J236=0),"",($U236-$J236)/$J236)</f>
        <v/>
      </c>
      <c r="BG236" s="32" t="str">
        <f aca="false">IF(OR($M236="",$K236="",$K236=0),"",($M236-$K236)/$K236)</f>
        <v/>
      </c>
      <c r="BH236" s="32" t="str">
        <f aca="false">IF(OR($W236="",$N236="",$N236=0),"",($W236-$N236)/$N236)</f>
        <v/>
      </c>
      <c r="BI236" s="33" t="str">
        <f aca="false">IF(OR($O236="",$X236=""),"",$O236-$X236)</f>
        <v/>
      </c>
      <c r="BJ236" s="33" t="str">
        <f aca="false">IF(OR($P236="",$Y236=""),"",$P236-$Y236)</f>
        <v/>
      </c>
      <c r="BK236" s="34" t="str">
        <f aca="false">IF(OR($AN236="",$AO236="",$AN236=0),"",$AO236/$AN236)</f>
        <v/>
      </c>
      <c r="BL236" s="34" t="str">
        <f aca="false">IF(OR($AU236="",$AV236="",$AU236=0),"",$AV236/$AU236)</f>
        <v/>
      </c>
      <c r="BM236" s="7" t="str">
        <f aca="false">IF($Z236="","",IF(AND($Z236="Y",$AB236&lt;&gt;"N",$AC236&lt;&gt;"Y"),"Y","N"))</f>
        <v/>
      </c>
      <c r="BN236" s="7" t="str">
        <f aca="false">IF($AH236="","",IF($Z236&lt;&gt;"Y","undefined",IF($AH236&lt;=1,"Y","N")))</f>
        <v/>
      </c>
      <c r="BO236" s="7" t="str">
        <f aca="false">IF($AH236="","",IF($Z236&lt;&gt;"Y","undefined",IF($AH236&lt;=10,"Y","N")))</f>
        <v/>
      </c>
      <c r="BP236" s="7" t="str">
        <f aca="false">IF($AH236="","",IF($Z236&lt;&gt;"Y","undefined",IF($AH236&lt;=100,"Y","N")))</f>
        <v/>
      </c>
    </row>
    <row r="237" customFormat="false" ht="15" hidden="false" customHeight="false" outlineLevel="0" collapsed="false">
      <c r="A237" s="7" t="str">
        <f aca="false">IF($B237="","",$B237&amp;"|"&amp;$C237&amp;"|"&amp;$F237)</f>
        <v/>
      </c>
      <c r="B237" s="5"/>
      <c r="C237" s="5"/>
      <c r="D237" s="5"/>
      <c r="E237" s="5"/>
      <c r="F237" s="5"/>
      <c r="G237" s="5"/>
      <c r="H237" s="5"/>
      <c r="I237" s="5"/>
      <c r="J237" s="20"/>
      <c r="K237" s="20"/>
      <c r="L237" s="28"/>
      <c r="M237" s="20"/>
      <c r="N237" s="28"/>
      <c r="O237" s="19"/>
      <c r="P237" s="19"/>
      <c r="Q237" s="5"/>
      <c r="R237" s="19"/>
      <c r="S237" s="5"/>
      <c r="T237" s="20"/>
      <c r="U237" s="20"/>
      <c r="V237" s="29"/>
      <c r="W237" s="28"/>
      <c r="X237" s="19"/>
      <c r="Y237" s="19"/>
      <c r="Z237" s="5"/>
      <c r="AA237" s="19"/>
      <c r="AB237" s="5"/>
      <c r="AC237" s="5"/>
      <c r="AD237" s="5"/>
      <c r="AE237" s="5"/>
      <c r="AF237" s="30"/>
      <c r="AG237" s="30"/>
      <c r="AH237" s="30"/>
      <c r="AI237" s="30"/>
      <c r="AJ237" s="30"/>
      <c r="AK237" s="30"/>
      <c r="AL237" s="28"/>
      <c r="AM237" s="5"/>
      <c r="AN237" s="19"/>
      <c r="AO237" s="19"/>
      <c r="AP237" s="5"/>
      <c r="AQ237" s="5"/>
      <c r="AR237" s="5"/>
      <c r="AS237" s="5"/>
      <c r="AT237" s="5"/>
      <c r="AU237" s="19"/>
      <c r="AV237" s="19"/>
      <c r="AW237" s="5"/>
      <c r="AX237" s="5"/>
      <c r="AY237" s="19"/>
      <c r="AZ237" s="30"/>
      <c r="BA237" s="5"/>
      <c r="BB237" s="31" t="str">
        <f aca="false">IF(OR($T237="",$M237=""),"",$T237-$M237)</f>
        <v/>
      </c>
      <c r="BC237" s="32" t="str">
        <f aca="false">IF(OR($T237="",$M237="",$M237=0),"",($T237-$M237)/$M237)</f>
        <v/>
      </c>
      <c r="BD237" s="31" t="str">
        <f aca="false">IF(OR($U237="",$M237=""),"",$U237-$M237)</f>
        <v/>
      </c>
      <c r="BE237" s="32" t="str">
        <f aca="false">IF(OR($U237="",$M237="",$M237=0),"",($U237-$M237)/$M237)</f>
        <v/>
      </c>
      <c r="BF237" s="32" t="str">
        <f aca="false">IF(OR($U237="",$J237="",$J237=0),"",($U237-$J237)/$J237)</f>
        <v/>
      </c>
      <c r="BG237" s="32" t="str">
        <f aca="false">IF(OR($M237="",$K237="",$K237=0),"",($M237-$K237)/$K237)</f>
        <v/>
      </c>
      <c r="BH237" s="32" t="str">
        <f aca="false">IF(OR($W237="",$N237="",$N237=0),"",($W237-$N237)/$N237)</f>
        <v/>
      </c>
      <c r="BI237" s="33" t="str">
        <f aca="false">IF(OR($O237="",$X237=""),"",$O237-$X237)</f>
        <v/>
      </c>
      <c r="BJ237" s="33" t="str">
        <f aca="false">IF(OR($P237="",$Y237=""),"",$P237-$Y237)</f>
        <v/>
      </c>
      <c r="BK237" s="34" t="str">
        <f aca="false">IF(OR($AN237="",$AO237="",$AN237=0),"",$AO237/$AN237)</f>
        <v/>
      </c>
      <c r="BL237" s="34" t="str">
        <f aca="false">IF(OR($AU237="",$AV237="",$AU237=0),"",$AV237/$AU237)</f>
        <v/>
      </c>
      <c r="BM237" s="7" t="str">
        <f aca="false">IF($Z237="","",IF(AND($Z237="Y",$AB237&lt;&gt;"N",$AC237&lt;&gt;"Y"),"Y","N"))</f>
        <v/>
      </c>
      <c r="BN237" s="7" t="str">
        <f aca="false">IF($AH237="","",IF($Z237&lt;&gt;"Y","undefined",IF($AH237&lt;=1,"Y","N")))</f>
        <v/>
      </c>
      <c r="BO237" s="7" t="str">
        <f aca="false">IF($AH237="","",IF($Z237&lt;&gt;"Y","undefined",IF($AH237&lt;=10,"Y","N")))</f>
        <v/>
      </c>
      <c r="BP237" s="7" t="str">
        <f aca="false">IF($AH237="","",IF($Z237&lt;&gt;"Y","undefined",IF($AH237&lt;=100,"Y","N")))</f>
        <v/>
      </c>
    </row>
    <row r="238" customFormat="false" ht="15" hidden="false" customHeight="false" outlineLevel="0" collapsed="false">
      <c r="A238" s="7" t="str">
        <f aca="false">IF($B238="","",$B238&amp;"|"&amp;$C238&amp;"|"&amp;$F238)</f>
        <v/>
      </c>
      <c r="B238" s="5"/>
      <c r="C238" s="5"/>
      <c r="D238" s="5"/>
      <c r="E238" s="5"/>
      <c r="F238" s="5"/>
      <c r="G238" s="5"/>
      <c r="H238" s="5"/>
      <c r="I238" s="5"/>
      <c r="J238" s="20"/>
      <c r="K238" s="20"/>
      <c r="L238" s="28"/>
      <c r="M238" s="20"/>
      <c r="N238" s="28"/>
      <c r="O238" s="19"/>
      <c r="P238" s="19"/>
      <c r="Q238" s="5"/>
      <c r="R238" s="19"/>
      <c r="S238" s="5"/>
      <c r="T238" s="20"/>
      <c r="U238" s="20"/>
      <c r="V238" s="29"/>
      <c r="W238" s="28"/>
      <c r="X238" s="19"/>
      <c r="Y238" s="19"/>
      <c r="Z238" s="5"/>
      <c r="AA238" s="19"/>
      <c r="AB238" s="5"/>
      <c r="AC238" s="5"/>
      <c r="AD238" s="5"/>
      <c r="AE238" s="5"/>
      <c r="AF238" s="30"/>
      <c r="AG238" s="30"/>
      <c r="AH238" s="30"/>
      <c r="AI238" s="30"/>
      <c r="AJ238" s="30"/>
      <c r="AK238" s="30"/>
      <c r="AL238" s="28"/>
      <c r="AM238" s="5"/>
      <c r="AN238" s="19"/>
      <c r="AO238" s="19"/>
      <c r="AP238" s="5"/>
      <c r="AQ238" s="5"/>
      <c r="AR238" s="5"/>
      <c r="AS238" s="5"/>
      <c r="AT238" s="5"/>
      <c r="AU238" s="19"/>
      <c r="AV238" s="19"/>
      <c r="AW238" s="5"/>
      <c r="AX238" s="5"/>
      <c r="AY238" s="19"/>
      <c r="AZ238" s="30"/>
      <c r="BA238" s="5"/>
      <c r="BB238" s="31" t="str">
        <f aca="false">IF(OR($T238="",$M238=""),"",$T238-$M238)</f>
        <v/>
      </c>
      <c r="BC238" s="32" t="str">
        <f aca="false">IF(OR($T238="",$M238="",$M238=0),"",($T238-$M238)/$M238)</f>
        <v/>
      </c>
      <c r="BD238" s="31" t="str">
        <f aca="false">IF(OR($U238="",$M238=""),"",$U238-$M238)</f>
        <v/>
      </c>
      <c r="BE238" s="32" t="str">
        <f aca="false">IF(OR($U238="",$M238="",$M238=0),"",($U238-$M238)/$M238)</f>
        <v/>
      </c>
      <c r="BF238" s="32" t="str">
        <f aca="false">IF(OR($U238="",$J238="",$J238=0),"",($U238-$J238)/$J238)</f>
        <v/>
      </c>
      <c r="BG238" s="32" t="str">
        <f aca="false">IF(OR($M238="",$K238="",$K238=0),"",($M238-$K238)/$K238)</f>
        <v/>
      </c>
      <c r="BH238" s="32" t="str">
        <f aca="false">IF(OR($W238="",$N238="",$N238=0),"",($W238-$N238)/$N238)</f>
        <v/>
      </c>
      <c r="BI238" s="33" t="str">
        <f aca="false">IF(OR($O238="",$X238=""),"",$O238-$X238)</f>
        <v/>
      </c>
      <c r="BJ238" s="33" t="str">
        <f aca="false">IF(OR($P238="",$Y238=""),"",$P238-$Y238)</f>
        <v/>
      </c>
      <c r="BK238" s="34" t="str">
        <f aca="false">IF(OR($AN238="",$AO238="",$AN238=0),"",$AO238/$AN238)</f>
        <v/>
      </c>
      <c r="BL238" s="34" t="str">
        <f aca="false">IF(OR($AU238="",$AV238="",$AU238=0),"",$AV238/$AU238)</f>
        <v/>
      </c>
      <c r="BM238" s="7" t="str">
        <f aca="false">IF($Z238="","",IF(AND($Z238="Y",$AB238&lt;&gt;"N",$AC238&lt;&gt;"Y"),"Y","N"))</f>
        <v/>
      </c>
      <c r="BN238" s="7" t="str">
        <f aca="false">IF($AH238="","",IF($Z238&lt;&gt;"Y","undefined",IF($AH238&lt;=1,"Y","N")))</f>
        <v/>
      </c>
      <c r="BO238" s="7" t="str">
        <f aca="false">IF($AH238="","",IF($Z238&lt;&gt;"Y","undefined",IF($AH238&lt;=10,"Y","N")))</f>
        <v/>
      </c>
      <c r="BP238" s="7" t="str">
        <f aca="false">IF($AH238="","",IF($Z238&lt;&gt;"Y","undefined",IF($AH238&lt;=100,"Y","N")))</f>
        <v/>
      </c>
    </row>
    <row r="239" customFormat="false" ht="15" hidden="false" customHeight="false" outlineLevel="0" collapsed="false">
      <c r="A239" s="7" t="str">
        <f aca="false">IF($B239="","",$B239&amp;"|"&amp;$C239&amp;"|"&amp;$F239)</f>
        <v/>
      </c>
      <c r="B239" s="5"/>
      <c r="C239" s="5"/>
      <c r="D239" s="5"/>
      <c r="E239" s="5"/>
      <c r="F239" s="5"/>
      <c r="G239" s="5"/>
      <c r="H239" s="5"/>
      <c r="I239" s="5"/>
      <c r="J239" s="20"/>
      <c r="K239" s="20"/>
      <c r="L239" s="28"/>
      <c r="M239" s="20"/>
      <c r="N239" s="28"/>
      <c r="O239" s="19"/>
      <c r="P239" s="19"/>
      <c r="Q239" s="5"/>
      <c r="R239" s="19"/>
      <c r="S239" s="5"/>
      <c r="T239" s="20"/>
      <c r="U239" s="20"/>
      <c r="V239" s="29"/>
      <c r="W239" s="28"/>
      <c r="X239" s="19"/>
      <c r="Y239" s="19"/>
      <c r="Z239" s="5"/>
      <c r="AA239" s="19"/>
      <c r="AB239" s="5"/>
      <c r="AC239" s="5"/>
      <c r="AD239" s="5"/>
      <c r="AE239" s="5"/>
      <c r="AF239" s="30"/>
      <c r="AG239" s="30"/>
      <c r="AH239" s="30"/>
      <c r="AI239" s="30"/>
      <c r="AJ239" s="30"/>
      <c r="AK239" s="30"/>
      <c r="AL239" s="28"/>
      <c r="AM239" s="5"/>
      <c r="AN239" s="19"/>
      <c r="AO239" s="19"/>
      <c r="AP239" s="5"/>
      <c r="AQ239" s="5"/>
      <c r="AR239" s="5"/>
      <c r="AS239" s="5"/>
      <c r="AT239" s="5"/>
      <c r="AU239" s="19"/>
      <c r="AV239" s="19"/>
      <c r="AW239" s="5"/>
      <c r="AX239" s="5"/>
      <c r="AY239" s="19"/>
      <c r="AZ239" s="30"/>
      <c r="BA239" s="5"/>
      <c r="BB239" s="31" t="str">
        <f aca="false">IF(OR($T239="",$M239=""),"",$T239-$M239)</f>
        <v/>
      </c>
      <c r="BC239" s="32" t="str">
        <f aca="false">IF(OR($T239="",$M239="",$M239=0),"",($T239-$M239)/$M239)</f>
        <v/>
      </c>
      <c r="BD239" s="31" t="str">
        <f aca="false">IF(OR($U239="",$M239=""),"",$U239-$M239)</f>
        <v/>
      </c>
      <c r="BE239" s="32" t="str">
        <f aca="false">IF(OR($U239="",$M239="",$M239=0),"",($U239-$M239)/$M239)</f>
        <v/>
      </c>
      <c r="BF239" s="32" t="str">
        <f aca="false">IF(OR($U239="",$J239="",$J239=0),"",($U239-$J239)/$J239)</f>
        <v/>
      </c>
      <c r="BG239" s="32" t="str">
        <f aca="false">IF(OR($M239="",$K239="",$K239=0),"",($M239-$K239)/$K239)</f>
        <v/>
      </c>
      <c r="BH239" s="32" t="str">
        <f aca="false">IF(OR($W239="",$N239="",$N239=0),"",($W239-$N239)/$N239)</f>
        <v/>
      </c>
      <c r="BI239" s="33" t="str">
        <f aca="false">IF(OR($O239="",$X239=""),"",$O239-$X239)</f>
        <v/>
      </c>
      <c r="BJ239" s="33" t="str">
        <f aca="false">IF(OR($P239="",$Y239=""),"",$P239-$Y239)</f>
        <v/>
      </c>
      <c r="BK239" s="34" t="str">
        <f aca="false">IF(OR($AN239="",$AO239="",$AN239=0),"",$AO239/$AN239)</f>
        <v/>
      </c>
      <c r="BL239" s="34" t="str">
        <f aca="false">IF(OR($AU239="",$AV239="",$AU239=0),"",$AV239/$AU239)</f>
        <v/>
      </c>
      <c r="BM239" s="7" t="str">
        <f aca="false">IF($Z239="","",IF(AND($Z239="Y",$AB239&lt;&gt;"N",$AC239&lt;&gt;"Y"),"Y","N"))</f>
        <v/>
      </c>
      <c r="BN239" s="7" t="str">
        <f aca="false">IF($AH239="","",IF($Z239&lt;&gt;"Y","undefined",IF($AH239&lt;=1,"Y","N")))</f>
        <v/>
      </c>
      <c r="BO239" s="7" t="str">
        <f aca="false">IF($AH239="","",IF($Z239&lt;&gt;"Y","undefined",IF($AH239&lt;=10,"Y","N")))</f>
        <v/>
      </c>
      <c r="BP239" s="7" t="str">
        <f aca="false">IF($AH239="","",IF($Z239&lt;&gt;"Y","undefined",IF($AH239&lt;=100,"Y","N")))</f>
        <v/>
      </c>
    </row>
    <row r="240" customFormat="false" ht="15" hidden="false" customHeight="false" outlineLevel="0" collapsed="false">
      <c r="A240" s="7" t="str">
        <f aca="false">IF($B240="","",$B240&amp;"|"&amp;$C240&amp;"|"&amp;$F240)</f>
        <v/>
      </c>
      <c r="B240" s="5"/>
      <c r="C240" s="5"/>
      <c r="D240" s="5"/>
      <c r="E240" s="5"/>
      <c r="F240" s="5"/>
      <c r="G240" s="5"/>
      <c r="H240" s="5"/>
      <c r="I240" s="5"/>
      <c r="J240" s="20"/>
      <c r="K240" s="20"/>
      <c r="L240" s="28"/>
      <c r="M240" s="20"/>
      <c r="N240" s="28"/>
      <c r="O240" s="19"/>
      <c r="P240" s="19"/>
      <c r="Q240" s="5"/>
      <c r="R240" s="19"/>
      <c r="S240" s="5"/>
      <c r="T240" s="20"/>
      <c r="U240" s="20"/>
      <c r="V240" s="29"/>
      <c r="W240" s="28"/>
      <c r="X240" s="19"/>
      <c r="Y240" s="19"/>
      <c r="Z240" s="5"/>
      <c r="AA240" s="19"/>
      <c r="AB240" s="5"/>
      <c r="AC240" s="5"/>
      <c r="AD240" s="5"/>
      <c r="AE240" s="5"/>
      <c r="AF240" s="30"/>
      <c r="AG240" s="30"/>
      <c r="AH240" s="30"/>
      <c r="AI240" s="30"/>
      <c r="AJ240" s="30"/>
      <c r="AK240" s="30"/>
      <c r="AL240" s="28"/>
      <c r="AM240" s="5"/>
      <c r="AN240" s="19"/>
      <c r="AO240" s="19"/>
      <c r="AP240" s="5"/>
      <c r="AQ240" s="5"/>
      <c r="AR240" s="5"/>
      <c r="AS240" s="5"/>
      <c r="AT240" s="5"/>
      <c r="AU240" s="19"/>
      <c r="AV240" s="19"/>
      <c r="AW240" s="5"/>
      <c r="AX240" s="5"/>
      <c r="AY240" s="19"/>
      <c r="AZ240" s="30"/>
      <c r="BA240" s="5"/>
      <c r="BB240" s="31" t="str">
        <f aca="false">IF(OR($T240="",$M240=""),"",$T240-$M240)</f>
        <v/>
      </c>
      <c r="BC240" s="32" t="str">
        <f aca="false">IF(OR($T240="",$M240="",$M240=0),"",($T240-$M240)/$M240)</f>
        <v/>
      </c>
      <c r="BD240" s="31" t="str">
        <f aca="false">IF(OR($U240="",$M240=""),"",$U240-$M240)</f>
        <v/>
      </c>
      <c r="BE240" s="32" t="str">
        <f aca="false">IF(OR($U240="",$M240="",$M240=0),"",($U240-$M240)/$M240)</f>
        <v/>
      </c>
      <c r="BF240" s="32" t="str">
        <f aca="false">IF(OR($U240="",$J240="",$J240=0),"",($U240-$J240)/$J240)</f>
        <v/>
      </c>
      <c r="BG240" s="32" t="str">
        <f aca="false">IF(OR($M240="",$K240="",$K240=0),"",($M240-$K240)/$K240)</f>
        <v/>
      </c>
      <c r="BH240" s="32" t="str">
        <f aca="false">IF(OR($W240="",$N240="",$N240=0),"",($W240-$N240)/$N240)</f>
        <v/>
      </c>
      <c r="BI240" s="33" t="str">
        <f aca="false">IF(OR($O240="",$X240=""),"",$O240-$X240)</f>
        <v/>
      </c>
      <c r="BJ240" s="33" t="str">
        <f aca="false">IF(OR($P240="",$Y240=""),"",$P240-$Y240)</f>
        <v/>
      </c>
      <c r="BK240" s="34" t="str">
        <f aca="false">IF(OR($AN240="",$AO240="",$AN240=0),"",$AO240/$AN240)</f>
        <v/>
      </c>
      <c r="BL240" s="34" t="str">
        <f aca="false">IF(OR($AU240="",$AV240="",$AU240=0),"",$AV240/$AU240)</f>
        <v/>
      </c>
      <c r="BM240" s="7" t="str">
        <f aca="false">IF($Z240="","",IF(AND($Z240="Y",$AB240&lt;&gt;"N",$AC240&lt;&gt;"Y"),"Y","N"))</f>
        <v/>
      </c>
      <c r="BN240" s="7" t="str">
        <f aca="false">IF($AH240="","",IF($Z240&lt;&gt;"Y","undefined",IF($AH240&lt;=1,"Y","N")))</f>
        <v/>
      </c>
      <c r="BO240" s="7" t="str">
        <f aca="false">IF($AH240="","",IF($Z240&lt;&gt;"Y","undefined",IF($AH240&lt;=10,"Y","N")))</f>
        <v/>
      </c>
      <c r="BP240" s="7" t="str">
        <f aca="false">IF($AH240="","",IF($Z240&lt;&gt;"Y","undefined",IF($AH240&lt;=100,"Y","N")))</f>
        <v/>
      </c>
    </row>
    <row r="241" customFormat="false" ht="15" hidden="false" customHeight="false" outlineLevel="0" collapsed="false">
      <c r="A241" s="7" t="str">
        <f aca="false">IF($B241="","",$B241&amp;"|"&amp;$C241&amp;"|"&amp;$F241)</f>
        <v/>
      </c>
      <c r="B241" s="5"/>
      <c r="C241" s="5"/>
      <c r="D241" s="5"/>
      <c r="E241" s="5"/>
      <c r="F241" s="5"/>
      <c r="G241" s="5"/>
      <c r="H241" s="5"/>
      <c r="I241" s="5"/>
      <c r="J241" s="20"/>
      <c r="K241" s="20"/>
      <c r="L241" s="28"/>
      <c r="M241" s="20"/>
      <c r="N241" s="28"/>
      <c r="O241" s="19"/>
      <c r="P241" s="19"/>
      <c r="Q241" s="5"/>
      <c r="R241" s="19"/>
      <c r="S241" s="5"/>
      <c r="T241" s="20"/>
      <c r="U241" s="20"/>
      <c r="V241" s="29"/>
      <c r="W241" s="28"/>
      <c r="X241" s="19"/>
      <c r="Y241" s="19"/>
      <c r="Z241" s="5"/>
      <c r="AA241" s="19"/>
      <c r="AB241" s="5"/>
      <c r="AC241" s="5"/>
      <c r="AD241" s="5"/>
      <c r="AE241" s="5"/>
      <c r="AF241" s="30"/>
      <c r="AG241" s="30"/>
      <c r="AH241" s="30"/>
      <c r="AI241" s="30"/>
      <c r="AJ241" s="30"/>
      <c r="AK241" s="30"/>
      <c r="AL241" s="28"/>
      <c r="AM241" s="5"/>
      <c r="AN241" s="19"/>
      <c r="AO241" s="19"/>
      <c r="AP241" s="5"/>
      <c r="AQ241" s="5"/>
      <c r="AR241" s="5"/>
      <c r="AS241" s="5"/>
      <c r="AT241" s="5"/>
      <c r="AU241" s="19"/>
      <c r="AV241" s="19"/>
      <c r="AW241" s="5"/>
      <c r="AX241" s="5"/>
      <c r="AY241" s="19"/>
      <c r="AZ241" s="30"/>
      <c r="BA241" s="5"/>
      <c r="BB241" s="31" t="str">
        <f aca="false">IF(OR($T241="",$M241=""),"",$T241-$M241)</f>
        <v/>
      </c>
      <c r="BC241" s="32" t="str">
        <f aca="false">IF(OR($T241="",$M241="",$M241=0),"",($T241-$M241)/$M241)</f>
        <v/>
      </c>
      <c r="BD241" s="31" t="str">
        <f aca="false">IF(OR($U241="",$M241=""),"",$U241-$M241)</f>
        <v/>
      </c>
      <c r="BE241" s="32" t="str">
        <f aca="false">IF(OR($U241="",$M241="",$M241=0),"",($U241-$M241)/$M241)</f>
        <v/>
      </c>
      <c r="BF241" s="32" t="str">
        <f aca="false">IF(OR($U241="",$J241="",$J241=0),"",($U241-$J241)/$J241)</f>
        <v/>
      </c>
      <c r="BG241" s="32" t="str">
        <f aca="false">IF(OR($M241="",$K241="",$K241=0),"",($M241-$K241)/$K241)</f>
        <v/>
      </c>
      <c r="BH241" s="32" t="str">
        <f aca="false">IF(OR($W241="",$N241="",$N241=0),"",($W241-$N241)/$N241)</f>
        <v/>
      </c>
      <c r="BI241" s="33" t="str">
        <f aca="false">IF(OR($O241="",$X241=""),"",$O241-$X241)</f>
        <v/>
      </c>
      <c r="BJ241" s="33" t="str">
        <f aca="false">IF(OR($P241="",$Y241=""),"",$P241-$Y241)</f>
        <v/>
      </c>
      <c r="BK241" s="34" t="str">
        <f aca="false">IF(OR($AN241="",$AO241="",$AN241=0),"",$AO241/$AN241)</f>
        <v/>
      </c>
      <c r="BL241" s="34" t="str">
        <f aca="false">IF(OR($AU241="",$AV241="",$AU241=0),"",$AV241/$AU241)</f>
        <v/>
      </c>
      <c r="BM241" s="7" t="str">
        <f aca="false">IF($Z241="","",IF(AND($Z241="Y",$AB241&lt;&gt;"N",$AC241&lt;&gt;"Y"),"Y","N"))</f>
        <v/>
      </c>
      <c r="BN241" s="7" t="str">
        <f aca="false">IF($AH241="","",IF($Z241&lt;&gt;"Y","undefined",IF($AH241&lt;=1,"Y","N")))</f>
        <v/>
      </c>
      <c r="BO241" s="7" t="str">
        <f aca="false">IF($AH241="","",IF($Z241&lt;&gt;"Y","undefined",IF($AH241&lt;=10,"Y","N")))</f>
        <v/>
      </c>
      <c r="BP241" s="7" t="str">
        <f aca="false">IF($AH241="","",IF($Z241&lt;&gt;"Y","undefined",IF($AH241&lt;=100,"Y","N")))</f>
        <v/>
      </c>
    </row>
    <row r="242" customFormat="false" ht="15" hidden="false" customHeight="false" outlineLevel="0" collapsed="false">
      <c r="A242" s="7" t="str">
        <f aca="false">IF($B242="","",$B242&amp;"|"&amp;$C242&amp;"|"&amp;$F242)</f>
        <v/>
      </c>
      <c r="B242" s="5"/>
      <c r="C242" s="5"/>
      <c r="D242" s="5"/>
      <c r="E242" s="5"/>
      <c r="F242" s="5"/>
      <c r="G242" s="5"/>
      <c r="H242" s="5"/>
      <c r="I242" s="5"/>
      <c r="J242" s="20"/>
      <c r="K242" s="20"/>
      <c r="L242" s="28"/>
      <c r="M242" s="20"/>
      <c r="N242" s="28"/>
      <c r="O242" s="19"/>
      <c r="P242" s="19"/>
      <c r="Q242" s="5"/>
      <c r="R242" s="19"/>
      <c r="S242" s="5"/>
      <c r="T242" s="20"/>
      <c r="U242" s="20"/>
      <c r="V242" s="29"/>
      <c r="W242" s="28"/>
      <c r="X242" s="19"/>
      <c r="Y242" s="19"/>
      <c r="Z242" s="5"/>
      <c r="AA242" s="19"/>
      <c r="AB242" s="5"/>
      <c r="AC242" s="5"/>
      <c r="AD242" s="5"/>
      <c r="AE242" s="5"/>
      <c r="AF242" s="30"/>
      <c r="AG242" s="30"/>
      <c r="AH242" s="30"/>
      <c r="AI242" s="30"/>
      <c r="AJ242" s="30"/>
      <c r="AK242" s="30"/>
      <c r="AL242" s="28"/>
      <c r="AM242" s="5"/>
      <c r="AN242" s="19"/>
      <c r="AO242" s="19"/>
      <c r="AP242" s="5"/>
      <c r="AQ242" s="5"/>
      <c r="AR242" s="5"/>
      <c r="AS242" s="5"/>
      <c r="AT242" s="5"/>
      <c r="AU242" s="19"/>
      <c r="AV242" s="19"/>
      <c r="AW242" s="5"/>
      <c r="AX242" s="5"/>
      <c r="AY242" s="19"/>
      <c r="AZ242" s="30"/>
      <c r="BA242" s="5"/>
      <c r="BB242" s="31" t="str">
        <f aca="false">IF(OR($T242="",$M242=""),"",$T242-$M242)</f>
        <v/>
      </c>
      <c r="BC242" s="32" t="str">
        <f aca="false">IF(OR($T242="",$M242="",$M242=0),"",($T242-$M242)/$M242)</f>
        <v/>
      </c>
      <c r="BD242" s="31" t="str">
        <f aca="false">IF(OR($U242="",$M242=""),"",$U242-$M242)</f>
        <v/>
      </c>
      <c r="BE242" s="32" t="str">
        <f aca="false">IF(OR($U242="",$M242="",$M242=0),"",($U242-$M242)/$M242)</f>
        <v/>
      </c>
      <c r="BF242" s="32" t="str">
        <f aca="false">IF(OR($U242="",$J242="",$J242=0),"",($U242-$J242)/$J242)</f>
        <v/>
      </c>
      <c r="BG242" s="32" t="str">
        <f aca="false">IF(OR($M242="",$K242="",$K242=0),"",($M242-$K242)/$K242)</f>
        <v/>
      </c>
      <c r="BH242" s="32" t="str">
        <f aca="false">IF(OR($W242="",$N242="",$N242=0),"",($W242-$N242)/$N242)</f>
        <v/>
      </c>
      <c r="BI242" s="33" t="str">
        <f aca="false">IF(OR($O242="",$X242=""),"",$O242-$X242)</f>
        <v/>
      </c>
      <c r="BJ242" s="33" t="str">
        <f aca="false">IF(OR($P242="",$Y242=""),"",$P242-$Y242)</f>
        <v/>
      </c>
      <c r="BK242" s="34" t="str">
        <f aca="false">IF(OR($AN242="",$AO242="",$AN242=0),"",$AO242/$AN242)</f>
        <v/>
      </c>
      <c r="BL242" s="34" t="str">
        <f aca="false">IF(OR($AU242="",$AV242="",$AU242=0),"",$AV242/$AU242)</f>
        <v/>
      </c>
      <c r="BM242" s="7" t="str">
        <f aca="false">IF($Z242="","",IF(AND($Z242="Y",$AB242&lt;&gt;"N",$AC242&lt;&gt;"Y"),"Y","N"))</f>
        <v/>
      </c>
      <c r="BN242" s="7" t="str">
        <f aca="false">IF($AH242="","",IF($Z242&lt;&gt;"Y","undefined",IF($AH242&lt;=1,"Y","N")))</f>
        <v/>
      </c>
      <c r="BO242" s="7" t="str">
        <f aca="false">IF($AH242="","",IF($Z242&lt;&gt;"Y","undefined",IF($AH242&lt;=10,"Y","N")))</f>
        <v/>
      </c>
      <c r="BP242" s="7" t="str">
        <f aca="false">IF($AH242="","",IF($Z242&lt;&gt;"Y","undefined",IF($AH242&lt;=100,"Y","N")))</f>
        <v/>
      </c>
    </row>
    <row r="243" customFormat="false" ht="15" hidden="false" customHeight="false" outlineLevel="0" collapsed="false">
      <c r="A243" s="7" t="str">
        <f aca="false">IF($B243="","",$B243&amp;"|"&amp;$C243&amp;"|"&amp;$F243)</f>
        <v/>
      </c>
      <c r="B243" s="5"/>
      <c r="C243" s="5"/>
      <c r="D243" s="5"/>
      <c r="E243" s="5"/>
      <c r="F243" s="5"/>
      <c r="G243" s="5"/>
      <c r="H243" s="5"/>
      <c r="I243" s="5"/>
      <c r="J243" s="20"/>
      <c r="K243" s="20"/>
      <c r="L243" s="28"/>
      <c r="M243" s="20"/>
      <c r="N243" s="28"/>
      <c r="O243" s="19"/>
      <c r="P243" s="19"/>
      <c r="Q243" s="5"/>
      <c r="R243" s="19"/>
      <c r="S243" s="5"/>
      <c r="T243" s="20"/>
      <c r="U243" s="20"/>
      <c r="V243" s="29"/>
      <c r="W243" s="28"/>
      <c r="X243" s="19"/>
      <c r="Y243" s="19"/>
      <c r="Z243" s="5"/>
      <c r="AA243" s="19"/>
      <c r="AB243" s="5"/>
      <c r="AC243" s="5"/>
      <c r="AD243" s="5"/>
      <c r="AE243" s="5"/>
      <c r="AF243" s="30"/>
      <c r="AG243" s="30"/>
      <c r="AH243" s="30"/>
      <c r="AI243" s="30"/>
      <c r="AJ243" s="30"/>
      <c r="AK243" s="30"/>
      <c r="AL243" s="28"/>
      <c r="AM243" s="5"/>
      <c r="AN243" s="19"/>
      <c r="AO243" s="19"/>
      <c r="AP243" s="5"/>
      <c r="AQ243" s="5"/>
      <c r="AR243" s="5"/>
      <c r="AS243" s="5"/>
      <c r="AT243" s="5"/>
      <c r="AU243" s="19"/>
      <c r="AV243" s="19"/>
      <c r="AW243" s="5"/>
      <c r="AX243" s="5"/>
      <c r="AY243" s="19"/>
      <c r="AZ243" s="30"/>
      <c r="BA243" s="5"/>
      <c r="BB243" s="31" t="str">
        <f aca="false">IF(OR($T243="",$M243=""),"",$T243-$M243)</f>
        <v/>
      </c>
      <c r="BC243" s="32" t="str">
        <f aca="false">IF(OR($T243="",$M243="",$M243=0),"",($T243-$M243)/$M243)</f>
        <v/>
      </c>
      <c r="BD243" s="31" t="str">
        <f aca="false">IF(OR($U243="",$M243=""),"",$U243-$M243)</f>
        <v/>
      </c>
      <c r="BE243" s="32" t="str">
        <f aca="false">IF(OR($U243="",$M243="",$M243=0),"",($U243-$M243)/$M243)</f>
        <v/>
      </c>
      <c r="BF243" s="32" t="str">
        <f aca="false">IF(OR($U243="",$J243="",$J243=0),"",($U243-$J243)/$J243)</f>
        <v/>
      </c>
      <c r="BG243" s="32" t="str">
        <f aca="false">IF(OR($M243="",$K243="",$K243=0),"",($M243-$K243)/$K243)</f>
        <v/>
      </c>
      <c r="BH243" s="32" t="str">
        <f aca="false">IF(OR($W243="",$N243="",$N243=0),"",($W243-$N243)/$N243)</f>
        <v/>
      </c>
      <c r="BI243" s="33" t="str">
        <f aca="false">IF(OR($O243="",$X243=""),"",$O243-$X243)</f>
        <v/>
      </c>
      <c r="BJ243" s="33" t="str">
        <f aca="false">IF(OR($P243="",$Y243=""),"",$P243-$Y243)</f>
        <v/>
      </c>
      <c r="BK243" s="34" t="str">
        <f aca="false">IF(OR($AN243="",$AO243="",$AN243=0),"",$AO243/$AN243)</f>
        <v/>
      </c>
      <c r="BL243" s="34" t="str">
        <f aca="false">IF(OR($AU243="",$AV243="",$AU243=0),"",$AV243/$AU243)</f>
        <v/>
      </c>
      <c r="BM243" s="7" t="str">
        <f aca="false">IF($Z243="","",IF(AND($Z243="Y",$AB243&lt;&gt;"N",$AC243&lt;&gt;"Y"),"Y","N"))</f>
        <v/>
      </c>
      <c r="BN243" s="7" t="str">
        <f aca="false">IF($AH243="","",IF($Z243&lt;&gt;"Y","undefined",IF($AH243&lt;=1,"Y","N")))</f>
        <v/>
      </c>
      <c r="BO243" s="7" t="str">
        <f aca="false">IF($AH243="","",IF($Z243&lt;&gt;"Y","undefined",IF($AH243&lt;=10,"Y","N")))</f>
        <v/>
      </c>
      <c r="BP243" s="7" t="str">
        <f aca="false">IF($AH243="","",IF($Z243&lt;&gt;"Y","undefined",IF($AH243&lt;=100,"Y","N")))</f>
        <v/>
      </c>
    </row>
    <row r="244" customFormat="false" ht="15" hidden="false" customHeight="false" outlineLevel="0" collapsed="false">
      <c r="A244" s="7" t="str">
        <f aca="false">IF($B244="","",$B244&amp;"|"&amp;$C244&amp;"|"&amp;$F244)</f>
        <v/>
      </c>
      <c r="B244" s="5"/>
      <c r="C244" s="5"/>
      <c r="D244" s="5"/>
      <c r="E244" s="5"/>
      <c r="F244" s="5"/>
      <c r="G244" s="5"/>
      <c r="H244" s="5"/>
      <c r="I244" s="5"/>
      <c r="J244" s="20"/>
      <c r="K244" s="20"/>
      <c r="L244" s="28"/>
      <c r="M244" s="20"/>
      <c r="N244" s="28"/>
      <c r="O244" s="19"/>
      <c r="P244" s="19"/>
      <c r="Q244" s="5"/>
      <c r="R244" s="19"/>
      <c r="S244" s="5"/>
      <c r="T244" s="20"/>
      <c r="U244" s="20"/>
      <c r="V244" s="29"/>
      <c r="W244" s="28"/>
      <c r="X244" s="19"/>
      <c r="Y244" s="19"/>
      <c r="Z244" s="5"/>
      <c r="AA244" s="19"/>
      <c r="AB244" s="5"/>
      <c r="AC244" s="5"/>
      <c r="AD244" s="5"/>
      <c r="AE244" s="5"/>
      <c r="AF244" s="30"/>
      <c r="AG244" s="30"/>
      <c r="AH244" s="30"/>
      <c r="AI244" s="30"/>
      <c r="AJ244" s="30"/>
      <c r="AK244" s="30"/>
      <c r="AL244" s="28"/>
      <c r="AM244" s="5"/>
      <c r="AN244" s="19"/>
      <c r="AO244" s="19"/>
      <c r="AP244" s="5"/>
      <c r="AQ244" s="5"/>
      <c r="AR244" s="5"/>
      <c r="AS244" s="5"/>
      <c r="AT244" s="5"/>
      <c r="AU244" s="19"/>
      <c r="AV244" s="19"/>
      <c r="AW244" s="5"/>
      <c r="AX244" s="5"/>
      <c r="AY244" s="19"/>
      <c r="AZ244" s="30"/>
      <c r="BA244" s="5"/>
      <c r="BB244" s="31" t="str">
        <f aca="false">IF(OR($T244="",$M244=""),"",$T244-$M244)</f>
        <v/>
      </c>
      <c r="BC244" s="32" t="str">
        <f aca="false">IF(OR($T244="",$M244="",$M244=0),"",($T244-$M244)/$M244)</f>
        <v/>
      </c>
      <c r="BD244" s="31" t="str">
        <f aca="false">IF(OR($U244="",$M244=""),"",$U244-$M244)</f>
        <v/>
      </c>
      <c r="BE244" s="32" t="str">
        <f aca="false">IF(OR($U244="",$M244="",$M244=0),"",($U244-$M244)/$M244)</f>
        <v/>
      </c>
      <c r="BF244" s="32" t="str">
        <f aca="false">IF(OR($U244="",$J244="",$J244=0),"",($U244-$J244)/$J244)</f>
        <v/>
      </c>
      <c r="BG244" s="32" t="str">
        <f aca="false">IF(OR($M244="",$K244="",$K244=0),"",($M244-$K244)/$K244)</f>
        <v/>
      </c>
      <c r="BH244" s="32" t="str">
        <f aca="false">IF(OR($W244="",$N244="",$N244=0),"",($W244-$N244)/$N244)</f>
        <v/>
      </c>
      <c r="BI244" s="33" t="str">
        <f aca="false">IF(OR($O244="",$X244=""),"",$O244-$X244)</f>
        <v/>
      </c>
      <c r="BJ244" s="33" t="str">
        <f aca="false">IF(OR($P244="",$Y244=""),"",$P244-$Y244)</f>
        <v/>
      </c>
      <c r="BK244" s="34" t="str">
        <f aca="false">IF(OR($AN244="",$AO244="",$AN244=0),"",$AO244/$AN244)</f>
        <v/>
      </c>
      <c r="BL244" s="34" t="str">
        <f aca="false">IF(OR($AU244="",$AV244="",$AU244=0),"",$AV244/$AU244)</f>
        <v/>
      </c>
      <c r="BM244" s="7" t="str">
        <f aca="false">IF($Z244="","",IF(AND($Z244="Y",$AB244&lt;&gt;"N",$AC244&lt;&gt;"Y"),"Y","N"))</f>
        <v/>
      </c>
      <c r="BN244" s="7" t="str">
        <f aca="false">IF($AH244="","",IF($Z244&lt;&gt;"Y","undefined",IF($AH244&lt;=1,"Y","N")))</f>
        <v/>
      </c>
      <c r="BO244" s="7" t="str">
        <f aca="false">IF($AH244="","",IF($Z244&lt;&gt;"Y","undefined",IF($AH244&lt;=10,"Y","N")))</f>
        <v/>
      </c>
      <c r="BP244" s="7" t="str">
        <f aca="false">IF($AH244="","",IF($Z244&lt;&gt;"Y","undefined",IF($AH244&lt;=100,"Y","N")))</f>
        <v/>
      </c>
    </row>
    <row r="245" customFormat="false" ht="15" hidden="false" customHeight="false" outlineLevel="0" collapsed="false">
      <c r="A245" s="7" t="str">
        <f aca="false">IF($B245="","",$B245&amp;"|"&amp;$C245&amp;"|"&amp;$F245)</f>
        <v/>
      </c>
      <c r="B245" s="5"/>
      <c r="C245" s="5"/>
      <c r="D245" s="5"/>
      <c r="E245" s="5"/>
      <c r="F245" s="5"/>
      <c r="G245" s="5"/>
      <c r="H245" s="5"/>
      <c r="I245" s="5"/>
      <c r="J245" s="20"/>
      <c r="K245" s="20"/>
      <c r="L245" s="28"/>
      <c r="M245" s="20"/>
      <c r="N245" s="28"/>
      <c r="O245" s="19"/>
      <c r="P245" s="19"/>
      <c r="Q245" s="5"/>
      <c r="R245" s="19"/>
      <c r="S245" s="5"/>
      <c r="T245" s="20"/>
      <c r="U245" s="20"/>
      <c r="V245" s="29"/>
      <c r="W245" s="28"/>
      <c r="X245" s="19"/>
      <c r="Y245" s="19"/>
      <c r="Z245" s="5"/>
      <c r="AA245" s="19"/>
      <c r="AB245" s="5"/>
      <c r="AC245" s="5"/>
      <c r="AD245" s="5"/>
      <c r="AE245" s="5"/>
      <c r="AF245" s="30"/>
      <c r="AG245" s="30"/>
      <c r="AH245" s="30"/>
      <c r="AI245" s="30"/>
      <c r="AJ245" s="30"/>
      <c r="AK245" s="30"/>
      <c r="AL245" s="28"/>
      <c r="AM245" s="5"/>
      <c r="AN245" s="19"/>
      <c r="AO245" s="19"/>
      <c r="AP245" s="5"/>
      <c r="AQ245" s="5"/>
      <c r="AR245" s="5"/>
      <c r="AS245" s="5"/>
      <c r="AT245" s="5"/>
      <c r="AU245" s="19"/>
      <c r="AV245" s="19"/>
      <c r="AW245" s="5"/>
      <c r="AX245" s="5"/>
      <c r="AY245" s="19"/>
      <c r="AZ245" s="30"/>
      <c r="BA245" s="5"/>
      <c r="BB245" s="31" t="str">
        <f aca="false">IF(OR($T245="",$M245=""),"",$T245-$M245)</f>
        <v/>
      </c>
      <c r="BC245" s="32" t="str">
        <f aca="false">IF(OR($T245="",$M245="",$M245=0),"",($T245-$M245)/$M245)</f>
        <v/>
      </c>
      <c r="BD245" s="31" t="str">
        <f aca="false">IF(OR($U245="",$M245=""),"",$U245-$M245)</f>
        <v/>
      </c>
      <c r="BE245" s="32" t="str">
        <f aca="false">IF(OR($U245="",$M245="",$M245=0),"",($U245-$M245)/$M245)</f>
        <v/>
      </c>
      <c r="BF245" s="32" t="str">
        <f aca="false">IF(OR($U245="",$J245="",$J245=0),"",($U245-$J245)/$J245)</f>
        <v/>
      </c>
      <c r="BG245" s="32" t="str">
        <f aca="false">IF(OR($M245="",$K245="",$K245=0),"",($M245-$K245)/$K245)</f>
        <v/>
      </c>
      <c r="BH245" s="32" t="str">
        <f aca="false">IF(OR($W245="",$N245="",$N245=0),"",($W245-$N245)/$N245)</f>
        <v/>
      </c>
      <c r="BI245" s="33" t="str">
        <f aca="false">IF(OR($O245="",$X245=""),"",$O245-$X245)</f>
        <v/>
      </c>
      <c r="BJ245" s="33" t="str">
        <f aca="false">IF(OR($P245="",$Y245=""),"",$P245-$Y245)</f>
        <v/>
      </c>
      <c r="BK245" s="34" t="str">
        <f aca="false">IF(OR($AN245="",$AO245="",$AN245=0),"",$AO245/$AN245)</f>
        <v/>
      </c>
      <c r="BL245" s="34" t="str">
        <f aca="false">IF(OR($AU245="",$AV245="",$AU245=0),"",$AV245/$AU245)</f>
        <v/>
      </c>
      <c r="BM245" s="7" t="str">
        <f aca="false">IF($Z245="","",IF(AND($Z245="Y",$AB245&lt;&gt;"N",$AC245&lt;&gt;"Y"),"Y","N"))</f>
        <v/>
      </c>
      <c r="BN245" s="7" t="str">
        <f aca="false">IF($AH245="","",IF($Z245&lt;&gt;"Y","undefined",IF($AH245&lt;=1,"Y","N")))</f>
        <v/>
      </c>
      <c r="BO245" s="7" t="str">
        <f aca="false">IF($AH245="","",IF($Z245&lt;&gt;"Y","undefined",IF($AH245&lt;=10,"Y","N")))</f>
        <v/>
      </c>
      <c r="BP245" s="7" t="str">
        <f aca="false">IF($AH245="","",IF($Z245&lt;&gt;"Y","undefined",IF($AH245&lt;=100,"Y","N")))</f>
        <v/>
      </c>
    </row>
    <row r="246" customFormat="false" ht="15" hidden="false" customHeight="false" outlineLevel="0" collapsed="false">
      <c r="A246" s="7" t="str">
        <f aca="false">IF($B246="","",$B246&amp;"|"&amp;$C246&amp;"|"&amp;$F246)</f>
        <v/>
      </c>
      <c r="B246" s="5"/>
      <c r="C246" s="5"/>
      <c r="D246" s="5"/>
      <c r="E246" s="5"/>
      <c r="F246" s="5"/>
      <c r="G246" s="5"/>
      <c r="H246" s="5"/>
      <c r="I246" s="5"/>
      <c r="J246" s="20"/>
      <c r="K246" s="20"/>
      <c r="L246" s="28"/>
      <c r="M246" s="20"/>
      <c r="N246" s="28"/>
      <c r="O246" s="19"/>
      <c r="P246" s="19"/>
      <c r="Q246" s="5"/>
      <c r="R246" s="19"/>
      <c r="S246" s="5"/>
      <c r="T246" s="20"/>
      <c r="U246" s="20"/>
      <c r="V246" s="29"/>
      <c r="W246" s="28"/>
      <c r="X246" s="19"/>
      <c r="Y246" s="19"/>
      <c r="Z246" s="5"/>
      <c r="AA246" s="19"/>
      <c r="AB246" s="5"/>
      <c r="AC246" s="5"/>
      <c r="AD246" s="5"/>
      <c r="AE246" s="5"/>
      <c r="AF246" s="30"/>
      <c r="AG246" s="30"/>
      <c r="AH246" s="30"/>
      <c r="AI246" s="30"/>
      <c r="AJ246" s="30"/>
      <c r="AK246" s="30"/>
      <c r="AL246" s="28"/>
      <c r="AM246" s="5"/>
      <c r="AN246" s="19"/>
      <c r="AO246" s="19"/>
      <c r="AP246" s="5"/>
      <c r="AQ246" s="5"/>
      <c r="AR246" s="5"/>
      <c r="AS246" s="5"/>
      <c r="AT246" s="5"/>
      <c r="AU246" s="19"/>
      <c r="AV246" s="19"/>
      <c r="AW246" s="5"/>
      <c r="AX246" s="5"/>
      <c r="AY246" s="19"/>
      <c r="AZ246" s="30"/>
      <c r="BA246" s="5"/>
      <c r="BB246" s="31" t="str">
        <f aca="false">IF(OR($T246="",$M246=""),"",$T246-$M246)</f>
        <v/>
      </c>
      <c r="BC246" s="32" t="str">
        <f aca="false">IF(OR($T246="",$M246="",$M246=0),"",($T246-$M246)/$M246)</f>
        <v/>
      </c>
      <c r="BD246" s="31" t="str">
        <f aca="false">IF(OR($U246="",$M246=""),"",$U246-$M246)</f>
        <v/>
      </c>
      <c r="BE246" s="32" t="str">
        <f aca="false">IF(OR($U246="",$M246="",$M246=0),"",($U246-$M246)/$M246)</f>
        <v/>
      </c>
      <c r="BF246" s="32" t="str">
        <f aca="false">IF(OR($U246="",$J246="",$J246=0),"",($U246-$J246)/$J246)</f>
        <v/>
      </c>
      <c r="BG246" s="32" t="str">
        <f aca="false">IF(OR($M246="",$K246="",$K246=0),"",($M246-$K246)/$K246)</f>
        <v/>
      </c>
      <c r="BH246" s="32" t="str">
        <f aca="false">IF(OR($W246="",$N246="",$N246=0),"",($W246-$N246)/$N246)</f>
        <v/>
      </c>
      <c r="BI246" s="33" t="str">
        <f aca="false">IF(OR($O246="",$X246=""),"",$O246-$X246)</f>
        <v/>
      </c>
      <c r="BJ246" s="33" t="str">
        <f aca="false">IF(OR($P246="",$Y246=""),"",$P246-$Y246)</f>
        <v/>
      </c>
      <c r="BK246" s="34" t="str">
        <f aca="false">IF(OR($AN246="",$AO246="",$AN246=0),"",$AO246/$AN246)</f>
        <v/>
      </c>
      <c r="BL246" s="34" t="str">
        <f aca="false">IF(OR($AU246="",$AV246="",$AU246=0),"",$AV246/$AU246)</f>
        <v/>
      </c>
      <c r="BM246" s="7" t="str">
        <f aca="false">IF($Z246="","",IF(AND($Z246="Y",$AB246&lt;&gt;"N",$AC246&lt;&gt;"Y"),"Y","N"))</f>
        <v/>
      </c>
      <c r="BN246" s="7" t="str">
        <f aca="false">IF($AH246="","",IF($Z246&lt;&gt;"Y","undefined",IF($AH246&lt;=1,"Y","N")))</f>
        <v/>
      </c>
      <c r="BO246" s="7" t="str">
        <f aca="false">IF($AH246="","",IF($Z246&lt;&gt;"Y","undefined",IF($AH246&lt;=10,"Y","N")))</f>
        <v/>
      </c>
      <c r="BP246" s="7" t="str">
        <f aca="false">IF($AH246="","",IF($Z246&lt;&gt;"Y","undefined",IF($AH246&lt;=100,"Y","N")))</f>
        <v/>
      </c>
    </row>
    <row r="247" customFormat="false" ht="15" hidden="false" customHeight="false" outlineLevel="0" collapsed="false">
      <c r="A247" s="7" t="str">
        <f aca="false">IF($B247="","",$B247&amp;"|"&amp;$C247&amp;"|"&amp;$F247)</f>
        <v/>
      </c>
      <c r="B247" s="5"/>
      <c r="C247" s="5"/>
      <c r="D247" s="5"/>
      <c r="E247" s="5"/>
      <c r="F247" s="5"/>
      <c r="G247" s="5"/>
      <c r="H247" s="5"/>
      <c r="I247" s="5"/>
      <c r="J247" s="20"/>
      <c r="K247" s="20"/>
      <c r="L247" s="28"/>
      <c r="M247" s="20"/>
      <c r="N247" s="28"/>
      <c r="O247" s="19"/>
      <c r="P247" s="19"/>
      <c r="Q247" s="5"/>
      <c r="R247" s="19"/>
      <c r="S247" s="5"/>
      <c r="T247" s="20"/>
      <c r="U247" s="20"/>
      <c r="V247" s="29"/>
      <c r="W247" s="28"/>
      <c r="X247" s="19"/>
      <c r="Y247" s="19"/>
      <c r="Z247" s="5"/>
      <c r="AA247" s="19"/>
      <c r="AB247" s="5"/>
      <c r="AC247" s="5"/>
      <c r="AD247" s="5"/>
      <c r="AE247" s="5"/>
      <c r="AF247" s="30"/>
      <c r="AG247" s="30"/>
      <c r="AH247" s="30"/>
      <c r="AI247" s="30"/>
      <c r="AJ247" s="30"/>
      <c r="AK247" s="30"/>
      <c r="AL247" s="28"/>
      <c r="AM247" s="5"/>
      <c r="AN247" s="19"/>
      <c r="AO247" s="19"/>
      <c r="AP247" s="5"/>
      <c r="AQ247" s="5"/>
      <c r="AR247" s="5"/>
      <c r="AS247" s="5"/>
      <c r="AT247" s="5"/>
      <c r="AU247" s="19"/>
      <c r="AV247" s="19"/>
      <c r="AW247" s="5"/>
      <c r="AX247" s="5"/>
      <c r="AY247" s="19"/>
      <c r="AZ247" s="30"/>
      <c r="BA247" s="5"/>
      <c r="BB247" s="31" t="str">
        <f aca="false">IF(OR($T247="",$M247=""),"",$T247-$M247)</f>
        <v/>
      </c>
      <c r="BC247" s="32" t="str">
        <f aca="false">IF(OR($T247="",$M247="",$M247=0),"",($T247-$M247)/$M247)</f>
        <v/>
      </c>
      <c r="BD247" s="31" t="str">
        <f aca="false">IF(OR($U247="",$M247=""),"",$U247-$M247)</f>
        <v/>
      </c>
      <c r="BE247" s="32" t="str">
        <f aca="false">IF(OR($U247="",$M247="",$M247=0),"",($U247-$M247)/$M247)</f>
        <v/>
      </c>
      <c r="BF247" s="32" t="str">
        <f aca="false">IF(OR($U247="",$J247="",$J247=0),"",($U247-$J247)/$J247)</f>
        <v/>
      </c>
      <c r="BG247" s="32" t="str">
        <f aca="false">IF(OR($M247="",$K247="",$K247=0),"",($M247-$K247)/$K247)</f>
        <v/>
      </c>
      <c r="BH247" s="32" t="str">
        <f aca="false">IF(OR($W247="",$N247="",$N247=0),"",($W247-$N247)/$N247)</f>
        <v/>
      </c>
      <c r="BI247" s="33" t="str">
        <f aca="false">IF(OR($O247="",$X247=""),"",$O247-$X247)</f>
        <v/>
      </c>
      <c r="BJ247" s="33" t="str">
        <f aca="false">IF(OR($P247="",$Y247=""),"",$P247-$Y247)</f>
        <v/>
      </c>
      <c r="BK247" s="34" t="str">
        <f aca="false">IF(OR($AN247="",$AO247="",$AN247=0),"",$AO247/$AN247)</f>
        <v/>
      </c>
      <c r="BL247" s="34" t="str">
        <f aca="false">IF(OR($AU247="",$AV247="",$AU247=0),"",$AV247/$AU247)</f>
        <v/>
      </c>
      <c r="BM247" s="7" t="str">
        <f aca="false">IF($Z247="","",IF(AND($Z247="Y",$AB247&lt;&gt;"N",$AC247&lt;&gt;"Y"),"Y","N"))</f>
        <v/>
      </c>
      <c r="BN247" s="7" t="str">
        <f aca="false">IF($AH247="","",IF($Z247&lt;&gt;"Y","undefined",IF($AH247&lt;=1,"Y","N")))</f>
        <v/>
      </c>
      <c r="BO247" s="7" t="str">
        <f aca="false">IF($AH247="","",IF($Z247&lt;&gt;"Y","undefined",IF($AH247&lt;=10,"Y","N")))</f>
        <v/>
      </c>
      <c r="BP247" s="7" t="str">
        <f aca="false">IF($AH247="","",IF($Z247&lt;&gt;"Y","undefined",IF($AH247&lt;=100,"Y","N")))</f>
        <v/>
      </c>
    </row>
    <row r="248" customFormat="false" ht="15" hidden="false" customHeight="false" outlineLevel="0" collapsed="false">
      <c r="A248" s="7" t="str">
        <f aca="false">IF($B248="","",$B248&amp;"|"&amp;$C248&amp;"|"&amp;$F248)</f>
        <v/>
      </c>
      <c r="B248" s="5"/>
      <c r="C248" s="5"/>
      <c r="D248" s="5"/>
      <c r="E248" s="5"/>
      <c r="F248" s="5"/>
      <c r="G248" s="5"/>
      <c r="H248" s="5"/>
      <c r="I248" s="5"/>
      <c r="J248" s="20"/>
      <c r="K248" s="20"/>
      <c r="L248" s="28"/>
      <c r="M248" s="20"/>
      <c r="N248" s="28"/>
      <c r="O248" s="19"/>
      <c r="P248" s="19"/>
      <c r="Q248" s="5"/>
      <c r="R248" s="19"/>
      <c r="S248" s="5"/>
      <c r="T248" s="20"/>
      <c r="U248" s="20"/>
      <c r="V248" s="29"/>
      <c r="W248" s="28"/>
      <c r="X248" s="19"/>
      <c r="Y248" s="19"/>
      <c r="Z248" s="5"/>
      <c r="AA248" s="19"/>
      <c r="AB248" s="5"/>
      <c r="AC248" s="5"/>
      <c r="AD248" s="5"/>
      <c r="AE248" s="5"/>
      <c r="AF248" s="30"/>
      <c r="AG248" s="30"/>
      <c r="AH248" s="30"/>
      <c r="AI248" s="30"/>
      <c r="AJ248" s="30"/>
      <c r="AK248" s="30"/>
      <c r="AL248" s="28"/>
      <c r="AM248" s="5"/>
      <c r="AN248" s="19"/>
      <c r="AO248" s="19"/>
      <c r="AP248" s="5"/>
      <c r="AQ248" s="5"/>
      <c r="AR248" s="5"/>
      <c r="AS248" s="5"/>
      <c r="AT248" s="5"/>
      <c r="AU248" s="19"/>
      <c r="AV248" s="19"/>
      <c r="AW248" s="5"/>
      <c r="AX248" s="5"/>
      <c r="AY248" s="19"/>
      <c r="AZ248" s="30"/>
      <c r="BA248" s="5"/>
      <c r="BB248" s="31" t="str">
        <f aca="false">IF(OR($T248="",$M248=""),"",$T248-$M248)</f>
        <v/>
      </c>
      <c r="BC248" s="32" t="str">
        <f aca="false">IF(OR($T248="",$M248="",$M248=0),"",($T248-$M248)/$M248)</f>
        <v/>
      </c>
      <c r="BD248" s="31" t="str">
        <f aca="false">IF(OR($U248="",$M248=""),"",$U248-$M248)</f>
        <v/>
      </c>
      <c r="BE248" s="32" t="str">
        <f aca="false">IF(OR($U248="",$M248="",$M248=0),"",($U248-$M248)/$M248)</f>
        <v/>
      </c>
      <c r="BF248" s="32" t="str">
        <f aca="false">IF(OR($U248="",$J248="",$J248=0),"",($U248-$J248)/$J248)</f>
        <v/>
      </c>
      <c r="BG248" s="32" t="str">
        <f aca="false">IF(OR($M248="",$K248="",$K248=0),"",($M248-$K248)/$K248)</f>
        <v/>
      </c>
      <c r="BH248" s="32" t="str">
        <f aca="false">IF(OR($W248="",$N248="",$N248=0),"",($W248-$N248)/$N248)</f>
        <v/>
      </c>
      <c r="BI248" s="33" t="str">
        <f aca="false">IF(OR($O248="",$X248=""),"",$O248-$X248)</f>
        <v/>
      </c>
      <c r="BJ248" s="33" t="str">
        <f aca="false">IF(OR($P248="",$Y248=""),"",$P248-$Y248)</f>
        <v/>
      </c>
      <c r="BK248" s="34" t="str">
        <f aca="false">IF(OR($AN248="",$AO248="",$AN248=0),"",$AO248/$AN248)</f>
        <v/>
      </c>
      <c r="BL248" s="34" t="str">
        <f aca="false">IF(OR($AU248="",$AV248="",$AU248=0),"",$AV248/$AU248)</f>
        <v/>
      </c>
      <c r="BM248" s="7" t="str">
        <f aca="false">IF($Z248="","",IF(AND($Z248="Y",$AB248&lt;&gt;"N",$AC248&lt;&gt;"Y"),"Y","N"))</f>
        <v/>
      </c>
      <c r="BN248" s="7" t="str">
        <f aca="false">IF($AH248="","",IF($Z248&lt;&gt;"Y","undefined",IF($AH248&lt;=1,"Y","N")))</f>
        <v/>
      </c>
      <c r="BO248" s="7" t="str">
        <f aca="false">IF($AH248="","",IF($Z248&lt;&gt;"Y","undefined",IF($AH248&lt;=10,"Y","N")))</f>
        <v/>
      </c>
      <c r="BP248" s="7" t="str">
        <f aca="false">IF($AH248="","",IF($Z248&lt;&gt;"Y","undefined",IF($AH248&lt;=100,"Y","N")))</f>
        <v/>
      </c>
    </row>
    <row r="249" customFormat="false" ht="15" hidden="false" customHeight="false" outlineLevel="0" collapsed="false">
      <c r="A249" s="7" t="str">
        <f aca="false">IF($B249="","",$B249&amp;"|"&amp;$C249&amp;"|"&amp;$F249)</f>
        <v/>
      </c>
      <c r="B249" s="5"/>
      <c r="C249" s="5"/>
      <c r="D249" s="5"/>
      <c r="E249" s="5"/>
      <c r="F249" s="5"/>
      <c r="G249" s="5"/>
      <c r="H249" s="5"/>
      <c r="I249" s="5"/>
      <c r="J249" s="20"/>
      <c r="K249" s="20"/>
      <c r="L249" s="28"/>
      <c r="M249" s="20"/>
      <c r="N249" s="28"/>
      <c r="O249" s="19"/>
      <c r="P249" s="19"/>
      <c r="Q249" s="5"/>
      <c r="R249" s="19"/>
      <c r="S249" s="5"/>
      <c r="T249" s="20"/>
      <c r="U249" s="20"/>
      <c r="V249" s="29"/>
      <c r="W249" s="28"/>
      <c r="X249" s="19"/>
      <c r="Y249" s="19"/>
      <c r="Z249" s="5"/>
      <c r="AA249" s="19"/>
      <c r="AB249" s="5"/>
      <c r="AC249" s="5"/>
      <c r="AD249" s="5"/>
      <c r="AE249" s="5"/>
      <c r="AF249" s="30"/>
      <c r="AG249" s="30"/>
      <c r="AH249" s="30"/>
      <c r="AI249" s="30"/>
      <c r="AJ249" s="30"/>
      <c r="AK249" s="30"/>
      <c r="AL249" s="28"/>
      <c r="AM249" s="5"/>
      <c r="AN249" s="19"/>
      <c r="AO249" s="19"/>
      <c r="AP249" s="5"/>
      <c r="AQ249" s="5"/>
      <c r="AR249" s="5"/>
      <c r="AS249" s="5"/>
      <c r="AT249" s="5"/>
      <c r="AU249" s="19"/>
      <c r="AV249" s="19"/>
      <c r="AW249" s="5"/>
      <c r="AX249" s="5"/>
      <c r="AY249" s="19"/>
      <c r="AZ249" s="30"/>
      <c r="BA249" s="5"/>
      <c r="BB249" s="31" t="str">
        <f aca="false">IF(OR($T249="",$M249=""),"",$T249-$M249)</f>
        <v/>
      </c>
      <c r="BC249" s="32" t="str">
        <f aca="false">IF(OR($T249="",$M249="",$M249=0),"",($T249-$M249)/$M249)</f>
        <v/>
      </c>
      <c r="BD249" s="31" t="str">
        <f aca="false">IF(OR($U249="",$M249=""),"",$U249-$M249)</f>
        <v/>
      </c>
      <c r="BE249" s="32" t="str">
        <f aca="false">IF(OR($U249="",$M249="",$M249=0),"",($U249-$M249)/$M249)</f>
        <v/>
      </c>
      <c r="BF249" s="32" t="str">
        <f aca="false">IF(OR($U249="",$J249="",$J249=0),"",($U249-$J249)/$J249)</f>
        <v/>
      </c>
      <c r="BG249" s="32" t="str">
        <f aca="false">IF(OR($M249="",$K249="",$K249=0),"",($M249-$K249)/$K249)</f>
        <v/>
      </c>
      <c r="BH249" s="32" t="str">
        <f aca="false">IF(OR($W249="",$N249="",$N249=0),"",($W249-$N249)/$N249)</f>
        <v/>
      </c>
      <c r="BI249" s="33" t="str">
        <f aca="false">IF(OR($O249="",$X249=""),"",$O249-$X249)</f>
        <v/>
      </c>
      <c r="BJ249" s="33" t="str">
        <f aca="false">IF(OR($P249="",$Y249=""),"",$P249-$Y249)</f>
        <v/>
      </c>
      <c r="BK249" s="34" t="str">
        <f aca="false">IF(OR($AN249="",$AO249="",$AN249=0),"",$AO249/$AN249)</f>
        <v/>
      </c>
      <c r="BL249" s="34" t="str">
        <f aca="false">IF(OR($AU249="",$AV249="",$AU249=0),"",$AV249/$AU249)</f>
        <v/>
      </c>
      <c r="BM249" s="7" t="str">
        <f aca="false">IF($Z249="","",IF(AND($Z249="Y",$AB249&lt;&gt;"N",$AC249&lt;&gt;"Y"),"Y","N"))</f>
        <v/>
      </c>
      <c r="BN249" s="7" t="str">
        <f aca="false">IF($AH249="","",IF($Z249&lt;&gt;"Y","undefined",IF($AH249&lt;=1,"Y","N")))</f>
        <v/>
      </c>
      <c r="BO249" s="7" t="str">
        <f aca="false">IF($AH249="","",IF($Z249&lt;&gt;"Y","undefined",IF($AH249&lt;=10,"Y","N")))</f>
        <v/>
      </c>
      <c r="BP249" s="7" t="str">
        <f aca="false">IF($AH249="","",IF($Z249&lt;&gt;"Y","undefined",IF($AH249&lt;=100,"Y","N")))</f>
        <v/>
      </c>
    </row>
    <row r="250" customFormat="false" ht="15" hidden="false" customHeight="false" outlineLevel="0" collapsed="false">
      <c r="A250" s="7" t="str">
        <f aca="false">IF($B250="","",$B250&amp;"|"&amp;$C250&amp;"|"&amp;$F250)</f>
        <v/>
      </c>
      <c r="B250" s="5"/>
      <c r="C250" s="5"/>
      <c r="D250" s="5"/>
      <c r="E250" s="5"/>
      <c r="F250" s="5"/>
      <c r="G250" s="5"/>
      <c r="H250" s="5"/>
      <c r="I250" s="5"/>
      <c r="J250" s="20"/>
      <c r="K250" s="20"/>
      <c r="L250" s="28"/>
      <c r="M250" s="20"/>
      <c r="N250" s="28"/>
      <c r="O250" s="19"/>
      <c r="P250" s="19"/>
      <c r="Q250" s="5"/>
      <c r="R250" s="19"/>
      <c r="S250" s="5"/>
      <c r="T250" s="20"/>
      <c r="U250" s="20"/>
      <c r="V250" s="29"/>
      <c r="W250" s="28"/>
      <c r="X250" s="19"/>
      <c r="Y250" s="19"/>
      <c r="Z250" s="5"/>
      <c r="AA250" s="19"/>
      <c r="AB250" s="5"/>
      <c r="AC250" s="5"/>
      <c r="AD250" s="5"/>
      <c r="AE250" s="5"/>
      <c r="AF250" s="30"/>
      <c r="AG250" s="30"/>
      <c r="AH250" s="30"/>
      <c r="AI250" s="30"/>
      <c r="AJ250" s="30"/>
      <c r="AK250" s="30"/>
      <c r="AL250" s="28"/>
      <c r="AM250" s="5"/>
      <c r="AN250" s="19"/>
      <c r="AO250" s="19"/>
      <c r="AP250" s="5"/>
      <c r="AQ250" s="5"/>
      <c r="AR250" s="5"/>
      <c r="AS250" s="5"/>
      <c r="AT250" s="5"/>
      <c r="AU250" s="19"/>
      <c r="AV250" s="19"/>
      <c r="AW250" s="5"/>
      <c r="AX250" s="5"/>
      <c r="AY250" s="19"/>
      <c r="AZ250" s="30"/>
      <c r="BA250" s="5"/>
      <c r="BB250" s="31" t="str">
        <f aca="false">IF(OR($T250="",$M250=""),"",$T250-$M250)</f>
        <v/>
      </c>
      <c r="BC250" s="32" t="str">
        <f aca="false">IF(OR($T250="",$M250="",$M250=0),"",($T250-$M250)/$M250)</f>
        <v/>
      </c>
      <c r="BD250" s="31" t="str">
        <f aca="false">IF(OR($U250="",$M250=""),"",$U250-$M250)</f>
        <v/>
      </c>
      <c r="BE250" s="32" t="str">
        <f aca="false">IF(OR($U250="",$M250="",$M250=0),"",($U250-$M250)/$M250)</f>
        <v/>
      </c>
      <c r="BF250" s="32" t="str">
        <f aca="false">IF(OR($U250="",$J250="",$J250=0),"",($U250-$J250)/$J250)</f>
        <v/>
      </c>
      <c r="BG250" s="32" t="str">
        <f aca="false">IF(OR($M250="",$K250="",$K250=0),"",($M250-$K250)/$K250)</f>
        <v/>
      </c>
      <c r="BH250" s="32" t="str">
        <f aca="false">IF(OR($W250="",$N250="",$N250=0),"",($W250-$N250)/$N250)</f>
        <v/>
      </c>
      <c r="BI250" s="33" t="str">
        <f aca="false">IF(OR($O250="",$X250=""),"",$O250-$X250)</f>
        <v/>
      </c>
      <c r="BJ250" s="33" t="str">
        <f aca="false">IF(OR($P250="",$Y250=""),"",$P250-$Y250)</f>
        <v/>
      </c>
      <c r="BK250" s="34" t="str">
        <f aca="false">IF(OR($AN250="",$AO250="",$AN250=0),"",$AO250/$AN250)</f>
        <v/>
      </c>
      <c r="BL250" s="34" t="str">
        <f aca="false">IF(OR($AU250="",$AV250="",$AU250=0),"",$AV250/$AU250)</f>
        <v/>
      </c>
      <c r="BM250" s="7" t="str">
        <f aca="false">IF($Z250="","",IF(AND($Z250="Y",$AB250&lt;&gt;"N",$AC250&lt;&gt;"Y"),"Y","N"))</f>
        <v/>
      </c>
      <c r="BN250" s="7" t="str">
        <f aca="false">IF($AH250="","",IF($Z250&lt;&gt;"Y","undefined",IF($AH250&lt;=1,"Y","N")))</f>
        <v/>
      </c>
      <c r="BO250" s="7" t="str">
        <f aca="false">IF($AH250="","",IF($Z250&lt;&gt;"Y","undefined",IF($AH250&lt;=10,"Y","N")))</f>
        <v/>
      </c>
      <c r="BP250" s="7" t="str">
        <f aca="false">IF($AH250="","",IF($Z250&lt;&gt;"Y","undefined",IF($AH250&lt;=100,"Y","N")))</f>
        <v/>
      </c>
    </row>
    <row r="251" customFormat="false" ht="15" hidden="false" customHeight="false" outlineLevel="0" collapsed="false">
      <c r="A251" s="7" t="str">
        <f aca="false">IF($B251="","",$B251&amp;"|"&amp;$C251&amp;"|"&amp;$F251)</f>
        <v/>
      </c>
      <c r="B251" s="5"/>
      <c r="C251" s="5"/>
      <c r="D251" s="5"/>
      <c r="E251" s="5"/>
      <c r="F251" s="5"/>
      <c r="G251" s="5"/>
      <c r="H251" s="5"/>
      <c r="I251" s="5"/>
      <c r="J251" s="20"/>
      <c r="K251" s="20"/>
      <c r="L251" s="28"/>
      <c r="M251" s="20"/>
      <c r="N251" s="28"/>
      <c r="O251" s="19"/>
      <c r="P251" s="19"/>
      <c r="Q251" s="5"/>
      <c r="R251" s="19"/>
      <c r="S251" s="5"/>
      <c r="T251" s="20"/>
      <c r="U251" s="20"/>
      <c r="V251" s="29"/>
      <c r="W251" s="28"/>
      <c r="X251" s="19"/>
      <c r="Y251" s="19"/>
      <c r="Z251" s="5"/>
      <c r="AA251" s="19"/>
      <c r="AB251" s="5"/>
      <c r="AC251" s="5"/>
      <c r="AD251" s="5"/>
      <c r="AE251" s="5"/>
      <c r="AF251" s="30"/>
      <c r="AG251" s="30"/>
      <c r="AH251" s="30"/>
      <c r="AI251" s="30"/>
      <c r="AJ251" s="30"/>
      <c r="AK251" s="30"/>
      <c r="AL251" s="28"/>
      <c r="AM251" s="5"/>
      <c r="AN251" s="19"/>
      <c r="AO251" s="19"/>
      <c r="AP251" s="5"/>
      <c r="AQ251" s="5"/>
      <c r="AR251" s="5"/>
      <c r="AS251" s="5"/>
      <c r="AT251" s="5"/>
      <c r="AU251" s="19"/>
      <c r="AV251" s="19"/>
      <c r="AW251" s="5"/>
      <c r="AX251" s="5"/>
      <c r="AY251" s="19"/>
      <c r="AZ251" s="30"/>
      <c r="BA251" s="5"/>
      <c r="BB251" s="31" t="str">
        <f aca="false">IF(OR($T251="",$M251=""),"",$T251-$M251)</f>
        <v/>
      </c>
      <c r="BC251" s="32" t="str">
        <f aca="false">IF(OR($T251="",$M251="",$M251=0),"",($T251-$M251)/$M251)</f>
        <v/>
      </c>
      <c r="BD251" s="31" t="str">
        <f aca="false">IF(OR($U251="",$M251=""),"",$U251-$M251)</f>
        <v/>
      </c>
      <c r="BE251" s="32" t="str">
        <f aca="false">IF(OR($U251="",$M251="",$M251=0),"",($U251-$M251)/$M251)</f>
        <v/>
      </c>
      <c r="BF251" s="32" t="str">
        <f aca="false">IF(OR($U251="",$J251="",$J251=0),"",($U251-$J251)/$J251)</f>
        <v/>
      </c>
      <c r="BG251" s="32" t="str">
        <f aca="false">IF(OR($M251="",$K251="",$K251=0),"",($M251-$K251)/$K251)</f>
        <v/>
      </c>
      <c r="BH251" s="32" t="str">
        <f aca="false">IF(OR($W251="",$N251="",$N251=0),"",($W251-$N251)/$N251)</f>
        <v/>
      </c>
      <c r="BI251" s="33" t="str">
        <f aca="false">IF(OR($O251="",$X251=""),"",$O251-$X251)</f>
        <v/>
      </c>
      <c r="BJ251" s="33" t="str">
        <f aca="false">IF(OR($P251="",$Y251=""),"",$P251-$Y251)</f>
        <v/>
      </c>
      <c r="BK251" s="34" t="str">
        <f aca="false">IF(OR($AN251="",$AO251="",$AN251=0),"",$AO251/$AN251)</f>
        <v/>
      </c>
      <c r="BL251" s="34" t="str">
        <f aca="false">IF(OR($AU251="",$AV251="",$AU251=0),"",$AV251/$AU251)</f>
        <v/>
      </c>
      <c r="BM251" s="7" t="str">
        <f aca="false">IF($Z251="","",IF(AND($Z251="Y",$AB251&lt;&gt;"N",$AC251&lt;&gt;"Y"),"Y","N"))</f>
        <v/>
      </c>
      <c r="BN251" s="7" t="str">
        <f aca="false">IF($AH251="","",IF($Z251&lt;&gt;"Y","undefined",IF($AH251&lt;=1,"Y","N")))</f>
        <v/>
      </c>
      <c r="BO251" s="7" t="str">
        <f aca="false">IF($AH251="","",IF($Z251&lt;&gt;"Y","undefined",IF($AH251&lt;=10,"Y","N")))</f>
        <v/>
      </c>
      <c r="BP251" s="7" t="str">
        <f aca="false">IF($AH251="","",IF($Z251&lt;&gt;"Y","undefined",IF($AH251&lt;=100,"Y","N")))</f>
        <v/>
      </c>
    </row>
    <row r="252" customFormat="false" ht="15" hidden="false" customHeight="false" outlineLevel="0" collapsed="false">
      <c r="A252" s="7" t="str">
        <f aca="false">IF($B252="","",$B252&amp;"|"&amp;$C252&amp;"|"&amp;$F252)</f>
        <v/>
      </c>
      <c r="B252" s="5"/>
      <c r="C252" s="5"/>
      <c r="D252" s="5"/>
      <c r="E252" s="5"/>
      <c r="F252" s="5"/>
      <c r="G252" s="5"/>
      <c r="H252" s="5"/>
      <c r="I252" s="5"/>
      <c r="J252" s="20"/>
      <c r="K252" s="20"/>
      <c r="L252" s="28"/>
      <c r="M252" s="20"/>
      <c r="N252" s="28"/>
      <c r="O252" s="19"/>
      <c r="P252" s="19"/>
      <c r="Q252" s="5"/>
      <c r="R252" s="19"/>
      <c r="S252" s="5"/>
      <c r="T252" s="20"/>
      <c r="U252" s="20"/>
      <c r="V252" s="29"/>
      <c r="W252" s="28"/>
      <c r="X252" s="19"/>
      <c r="Y252" s="19"/>
      <c r="Z252" s="5"/>
      <c r="AA252" s="19"/>
      <c r="AB252" s="5"/>
      <c r="AC252" s="5"/>
      <c r="AD252" s="5"/>
      <c r="AE252" s="5"/>
      <c r="AF252" s="30"/>
      <c r="AG252" s="30"/>
      <c r="AH252" s="30"/>
      <c r="AI252" s="30"/>
      <c r="AJ252" s="30"/>
      <c r="AK252" s="30"/>
      <c r="AL252" s="28"/>
      <c r="AM252" s="5"/>
      <c r="AN252" s="19"/>
      <c r="AO252" s="19"/>
      <c r="AP252" s="5"/>
      <c r="AQ252" s="5"/>
      <c r="AR252" s="5"/>
      <c r="AS252" s="5"/>
      <c r="AT252" s="5"/>
      <c r="AU252" s="19"/>
      <c r="AV252" s="19"/>
      <c r="AW252" s="5"/>
      <c r="AX252" s="5"/>
      <c r="AY252" s="19"/>
      <c r="AZ252" s="30"/>
      <c r="BA252" s="5"/>
      <c r="BB252" s="31" t="str">
        <f aca="false">IF(OR($T252="",$M252=""),"",$T252-$M252)</f>
        <v/>
      </c>
      <c r="BC252" s="32" t="str">
        <f aca="false">IF(OR($T252="",$M252="",$M252=0),"",($T252-$M252)/$M252)</f>
        <v/>
      </c>
      <c r="BD252" s="31" t="str">
        <f aca="false">IF(OR($U252="",$M252=""),"",$U252-$M252)</f>
        <v/>
      </c>
      <c r="BE252" s="32" t="str">
        <f aca="false">IF(OR($U252="",$M252="",$M252=0),"",($U252-$M252)/$M252)</f>
        <v/>
      </c>
      <c r="BF252" s="32" t="str">
        <f aca="false">IF(OR($U252="",$J252="",$J252=0),"",($U252-$J252)/$J252)</f>
        <v/>
      </c>
      <c r="BG252" s="32" t="str">
        <f aca="false">IF(OR($M252="",$K252="",$K252=0),"",($M252-$K252)/$K252)</f>
        <v/>
      </c>
      <c r="BH252" s="32" t="str">
        <f aca="false">IF(OR($W252="",$N252="",$N252=0),"",($W252-$N252)/$N252)</f>
        <v/>
      </c>
      <c r="BI252" s="33" t="str">
        <f aca="false">IF(OR($O252="",$X252=""),"",$O252-$X252)</f>
        <v/>
      </c>
      <c r="BJ252" s="33" t="str">
        <f aca="false">IF(OR($P252="",$Y252=""),"",$P252-$Y252)</f>
        <v/>
      </c>
      <c r="BK252" s="34" t="str">
        <f aca="false">IF(OR($AN252="",$AO252="",$AN252=0),"",$AO252/$AN252)</f>
        <v/>
      </c>
      <c r="BL252" s="34" t="str">
        <f aca="false">IF(OR($AU252="",$AV252="",$AU252=0),"",$AV252/$AU252)</f>
        <v/>
      </c>
      <c r="BM252" s="7" t="str">
        <f aca="false">IF($Z252="","",IF(AND($Z252="Y",$AB252&lt;&gt;"N",$AC252&lt;&gt;"Y"),"Y","N"))</f>
        <v/>
      </c>
      <c r="BN252" s="7" t="str">
        <f aca="false">IF($AH252="","",IF($Z252&lt;&gt;"Y","undefined",IF($AH252&lt;=1,"Y","N")))</f>
        <v/>
      </c>
      <c r="BO252" s="7" t="str">
        <f aca="false">IF($AH252="","",IF($Z252&lt;&gt;"Y","undefined",IF($AH252&lt;=10,"Y","N")))</f>
        <v/>
      </c>
      <c r="BP252" s="7" t="str">
        <f aca="false">IF($AH252="","",IF($Z252&lt;&gt;"Y","undefined",IF($AH252&lt;=100,"Y","N")))</f>
        <v/>
      </c>
    </row>
    <row r="253" customFormat="false" ht="15" hidden="false" customHeight="false" outlineLevel="0" collapsed="false">
      <c r="A253" s="7" t="str">
        <f aca="false">IF($B253="","",$B253&amp;"|"&amp;$C253&amp;"|"&amp;$F253)</f>
        <v/>
      </c>
      <c r="B253" s="5"/>
      <c r="C253" s="5"/>
      <c r="D253" s="5"/>
      <c r="E253" s="5"/>
      <c r="F253" s="5"/>
      <c r="G253" s="5"/>
      <c r="H253" s="5"/>
      <c r="I253" s="5"/>
      <c r="J253" s="20"/>
      <c r="K253" s="20"/>
      <c r="L253" s="28"/>
      <c r="M253" s="20"/>
      <c r="N253" s="28"/>
      <c r="O253" s="19"/>
      <c r="P253" s="19"/>
      <c r="Q253" s="5"/>
      <c r="R253" s="19"/>
      <c r="S253" s="5"/>
      <c r="T253" s="20"/>
      <c r="U253" s="20"/>
      <c r="V253" s="29"/>
      <c r="W253" s="28"/>
      <c r="X253" s="19"/>
      <c r="Y253" s="19"/>
      <c r="Z253" s="5"/>
      <c r="AA253" s="19"/>
      <c r="AB253" s="5"/>
      <c r="AC253" s="5"/>
      <c r="AD253" s="5"/>
      <c r="AE253" s="5"/>
      <c r="AF253" s="30"/>
      <c r="AG253" s="30"/>
      <c r="AH253" s="30"/>
      <c r="AI253" s="30"/>
      <c r="AJ253" s="30"/>
      <c r="AK253" s="30"/>
      <c r="AL253" s="28"/>
      <c r="AM253" s="5"/>
      <c r="AN253" s="19"/>
      <c r="AO253" s="19"/>
      <c r="AP253" s="5"/>
      <c r="AQ253" s="5"/>
      <c r="AR253" s="5"/>
      <c r="AS253" s="5"/>
      <c r="AT253" s="5"/>
      <c r="AU253" s="19"/>
      <c r="AV253" s="19"/>
      <c r="AW253" s="5"/>
      <c r="AX253" s="5"/>
      <c r="AY253" s="19"/>
      <c r="AZ253" s="30"/>
      <c r="BA253" s="5"/>
      <c r="BB253" s="31" t="str">
        <f aca="false">IF(OR($T253="",$M253=""),"",$T253-$M253)</f>
        <v/>
      </c>
      <c r="BC253" s="32" t="str">
        <f aca="false">IF(OR($T253="",$M253="",$M253=0),"",($T253-$M253)/$M253)</f>
        <v/>
      </c>
      <c r="BD253" s="31" t="str">
        <f aca="false">IF(OR($U253="",$M253=""),"",$U253-$M253)</f>
        <v/>
      </c>
      <c r="BE253" s="32" t="str">
        <f aca="false">IF(OR($U253="",$M253="",$M253=0),"",($U253-$M253)/$M253)</f>
        <v/>
      </c>
      <c r="BF253" s="32" t="str">
        <f aca="false">IF(OR($U253="",$J253="",$J253=0),"",($U253-$J253)/$J253)</f>
        <v/>
      </c>
      <c r="BG253" s="32" t="str">
        <f aca="false">IF(OR($M253="",$K253="",$K253=0),"",($M253-$K253)/$K253)</f>
        <v/>
      </c>
      <c r="BH253" s="32" t="str">
        <f aca="false">IF(OR($W253="",$N253="",$N253=0),"",($W253-$N253)/$N253)</f>
        <v/>
      </c>
      <c r="BI253" s="33" t="str">
        <f aca="false">IF(OR($O253="",$X253=""),"",$O253-$X253)</f>
        <v/>
      </c>
      <c r="BJ253" s="33" t="str">
        <f aca="false">IF(OR($P253="",$Y253=""),"",$P253-$Y253)</f>
        <v/>
      </c>
      <c r="BK253" s="34" t="str">
        <f aca="false">IF(OR($AN253="",$AO253="",$AN253=0),"",$AO253/$AN253)</f>
        <v/>
      </c>
      <c r="BL253" s="34" t="str">
        <f aca="false">IF(OR($AU253="",$AV253="",$AU253=0),"",$AV253/$AU253)</f>
        <v/>
      </c>
      <c r="BM253" s="7" t="str">
        <f aca="false">IF($Z253="","",IF(AND($Z253="Y",$AB253&lt;&gt;"N",$AC253&lt;&gt;"Y"),"Y","N"))</f>
        <v/>
      </c>
      <c r="BN253" s="7" t="str">
        <f aca="false">IF($AH253="","",IF($Z253&lt;&gt;"Y","undefined",IF($AH253&lt;=1,"Y","N")))</f>
        <v/>
      </c>
      <c r="BO253" s="7" t="str">
        <f aca="false">IF($AH253="","",IF($Z253&lt;&gt;"Y","undefined",IF($AH253&lt;=10,"Y","N")))</f>
        <v/>
      </c>
      <c r="BP253" s="7" t="str">
        <f aca="false">IF($AH253="","",IF($Z253&lt;&gt;"Y","undefined",IF($AH253&lt;=100,"Y","N")))</f>
        <v/>
      </c>
    </row>
    <row r="254" customFormat="false" ht="15" hidden="false" customHeight="false" outlineLevel="0" collapsed="false">
      <c r="A254" s="7" t="str">
        <f aca="false">IF($B254="","",$B254&amp;"|"&amp;$C254&amp;"|"&amp;$F254)</f>
        <v/>
      </c>
      <c r="B254" s="5"/>
      <c r="C254" s="5"/>
      <c r="D254" s="5"/>
      <c r="E254" s="5"/>
      <c r="F254" s="5"/>
      <c r="G254" s="5"/>
      <c r="H254" s="5"/>
      <c r="I254" s="5"/>
      <c r="J254" s="20"/>
      <c r="K254" s="20"/>
      <c r="L254" s="28"/>
      <c r="M254" s="20"/>
      <c r="N254" s="28"/>
      <c r="O254" s="19"/>
      <c r="P254" s="19"/>
      <c r="Q254" s="5"/>
      <c r="R254" s="19"/>
      <c r="S254" s="5"/>
      <c r="T254" s="20"/>
      <c r="U254" s="20"/>
      <c r="V254" s="29"/>
      <c r="W254" s="28"/>
      <c r="X254" s="19"/>
      <c r="Y254" s="19"/>
      <c r="Z254" s="5"/>
      <c r="AA254" s="19"/>
      <c r="AB254" s="5"/>
      <c r="AC254" s="5"/>
      <c r="AD254" s="5"/>
      <c r="AE254" s="5"/>
      <c r="AF254" s="30"/>
      <c r="AG254" s="30"/>
      <c r="AH254" s="30"/>
      <c r="AI254" s="30"/>
      <c r="AJ254" s="30"/>
      <c r="AK254" s="30"/>
      <c r="AL254" s="28"/>
      <c r="AM254" s="5"/>
      <c r="AN254" s="19"/>
      <c r="AO254" s="19"/>
      <c r="AP254" s="5"/>
      <c r="AQ254" s="5"/>
      <c r="AR254" s="5"/>
      <c r="AS254" s="5"/>
      <c r="AT254" s="5"/>
      <c r="AU254" s="19"/>
      <c r="AV254" s="19"/>
      <c r="AW254" s="5"/>
      <c r="AX254" s="5"/>
      <c r="AY254" s="19"/>
      <c r="AZ254" s="30"/>
      <c r="BA254" s="5"/>
      <c r="BB254" s="31" t="str">
        <f aca="false">IF(OR($T254="",$M254=""),"",$T254-$M254)</f>
        <v/>
      </c>
      <c r="BC254" s="32" t="str">
        <f aca="false">IF(OR($T254="",$M254="",$M254=0),"",($T254-$M254)/$M254)</f>
        <v/>
      </c>
      <c r="BD254" s="31" t="str">
        <f aca="false">IF(OR($U254="",$M254=""),"",$U254-$M254)</f>
        <v/>
      </c>
      <c r="BE254" s="32" t="str">
        <f aca="false">IF(OR($U254="",$M254="",$M254=0),"",($U254-$M254)/$M254)</f>
        <v/>
      </c>
      <c r="BF254" s="32" t="str">
        <f aca="false">IF(OR($U254="",$J254="",$J254=0),"",($U254-$J254)/$J254)</f>
        <v/>
      </c>
      <c r="BG254" s="32" t="str">
        <f aca="false">IF(OR($M254="",$K254="",$K254=0),"",($M254-$K254)/$K254)</f>
        <v/>
      </c>
      <c r="BH254" s="32" t="str">
        <f aca="false">IF(OR($W254="",$N254="",$N254=0),"",($W254-$N254)/$N254)</f>
        <v/>
      </c>
      <c r="BI254" s="33" t="str">
        <f aca="false">IF(OR($O254="",$X254=""),"",$O254-$X254)</f>
        <v/>
      </c>
      <c r="BJ254" s="33" t="str">
        <f aca="false">IF(OR($P254="",$Y254=""),"",$P254-$Y254)</f>
        <v/>
      </c>
      <c r="BK254" s="34" t="str">
        <f aca="false">IF(OR($AN254="",$AO254="",$AN254=0),"",$AO254/$AN254)</f>
        <v/>
      </c>
      <c r="BL254" s="34" t="str">
        <f aca="false">IF(OR($AU254="",$AV254="",$AU254=0),"",$AV254/$AU254)</f>
        <v/>
      </c>
      <c r="BM254" s="7" t="str">
        <f aca="false">IF($Z254="","",IF(AND($Z254="Y",$AB254&lt;&gt;"N",$AC254&lt;&gt;"Y"),"Y","N"))</f>
        <v/>
      </c>
      <c r="BN254" s="7" t="str">
        <f aca="false">IF($AH254="","",IF($Z254&lt;&gt;"Y","undefined",IF($AH254&lt;=1,"Y","N")))</f>
        <v/>
      </c>
      <c r="BO254" s="7" t="str">
        <f aca="false">IF($AH254="","",IF($Z254&lt;&gt;"Y","undefined",IF($AH254&lt;=10,"Y","N")))</f>
        <v/>
      </c>
      <c r="BP254" s="7" t="str">
        <f aca="false">IF($AH254="","",IF($Z254&lt;&gt;"Y","undefined",IF($AH254&lt;=100,"Y","N")))</f>
        <v/>
      </c>
    </row>
    <row r="255" customFormat="false" ht="15" hidden="false" customHeight="false" outlineLevel="0" collapsed="false">
      <c r="A255" s="7" t="str">
        <f aca="false">IF($B255="","",$B255&amp;"|"&amp;$C255&amp;"|"&amp;$F255)</f>
        <v/>
      </c>
      <c r="B255" s="5"/>
      <c r="C255" s="5"/>
      <c r="D255" s="5"/>
      <c r="E255" s="5"/>
      <c r="F255" s="5"/>
      <c r="G255" s="5"/>
      <c r="H255" s="5"/>
      <c r="I255" s="5"/>
      <c r="J255" s="20"/>
      <c r="K255" s="20"/>
      <c r="L255" s="28"/>
      <c r="M255" s="20"/>
      <c r="N255" s="28"/>
      <c r="O255" s="19"/>
      <c r="P255" s="19"/>
      <c r="Q255" s="5"/>
      <c r="R255" s="19"/>
      <c r="S255" s="5"/>
      <c r="T255" s="20"/>
      <c r="U255" s="20"/>
      <c r="V255" s="29"/>
      <c r="W255" s="28"/>
      <c r="X255" s="19"/>
      <c r="Y255" s="19"/>
      <c r="Z255" s="5"/>
      <c r="AA255" s="19"/>
      <c r="AB255" s="5"/>
      <c r="AC255" s="5"/>
      <c r="AD255" s="5"/>
      <c r="AE255" s="5"/>
      <c r="AF255" s="30"/>
      <c r="AG255" s="30"/>
      <c r="AH255" s="30"/>
      <c r="AI255" s="30"/>
      <c r="AJ255" s="30"/>
      <c r="AK255" s="30"/>
      <c r="AL255" s="28"/>
      <c r="AM255" s="5"/>
      <c r="AN255" s="19"/>
      <c r="AO255" s="19"/>
      <c r="AP255" s="5"/>
      <c r="AQ255" s="5"/>
      <c r="AR255" s="5"/>
      <c r="AS255" s="5"/>
      <c r="AT255" s="5"/>
      <c r="AU255" s="19"/>
      <c r="AV255" s="19"/>
      <c r="AW255" s="5"/>
      <c r="AX255" s="5"/>
      <c r="AY255" s="19"/>
      <c r="AZ255" s="30"/>
      <c r="BA255" s="5"/>
      <c r="BB255" s="31" t="str">
        <f aca="false">IF(OR($T255="",$M255=""),"",$T255-$M255)</f>
        <v/>
      </c>
      <c r="BC255" s="32" t="str">
        <f aca="false">IF(OR($T255="",$M255="",$M255=0),"",($T255-$M255)/$M255)</f>
        <v/>
      </c>
      <c r="BD255" s="31" t="str">
        <f aca="false">IF(OR($U255="",$M255=""),"",$U255-$M255)</f>
        <v/>
      </c>
      <c r="BE255" s="32" t="str">
        <f aca="false">IF(OR($U255="",$M255="",$M255=0),"",($U255-$M255)/$M255)</f>
        <v/>
      </c>
      <c r="BF255" s="32" t="str">
        <f aca="false">IF(OR($U255="",$J255="",$J255=0),"",($U255-$J255)/$J255)</f>
        <v/>
      </c>
      <c r="BG255" s="32" t="str">
        <f aca="false">IF(OR($M255="",$K255="",$K255=0),"",($M255-$K255)/$K255)</f>
        <v/>
      </c>
      <c r="BH255" s="32" t="str">
        <f aca="false">IF(OR($W255="",$N255="",$N255=0),"",($W255-$N255)/$N255)</f>
        <v/>
      </c>
      <c r="BI255" s="33" t="str">
        <f aca="false">IF(OR($O255="",$X255=""),"",$O255-$X255)</f>
        <v/>
      </c>
      <c r="BJ255" s="33" t="str">
        <f aca="false">IF(OR($P255="",$Y255=""),"",$P255-$Y255)</f>
        <v/>
      </c>
      <c r="BK255" s="34" t="str">
        <f aca="false">IF(OR($AN255="",$AO255="",$AN255=0),"",$AO255/$AN255)</f>
        <v/>
      </c>
      <c r="BL255" s="34" t="str">
        <f aca="false">IF(OR($AU255="",$AV255="",$AU255=0),"",$AV255/$AU255)</f>
        <v/>
      </c>
      <c r="BM255" s="7" t="str">
        <f aca="false">IF($Z255="","",IF(AND($Z255="Y",$AB255&lt;&gt;"N",$AC255&lt;&gt;"Y"),"Y","N"))</f>
        <v/>
      </c>
      <c r="BN255" s="7" t="str">
        <f aca="false">IF($AH255="","",IF($Z255&lt;&gt;"Y","undefined",IF($AH255&lt;=1,"Y","N")))</f>
        <v/>
      </c>
      <c r="BO255" s="7" t="str">
        <f aca="false">IF($AH255="","",IF($Z255&lt;&gt;"Y","undefined",IF($AH255&lt;=10,"Y","N")))</f>
        <v/>
      </c>
      <c r="BP255" s="7" t="str">
        <f aca="false">IF($AH255="","",IF($Z255&lt;&gt;"Y","undefined",IF($AH255&lt;=100,"Y","N")))</f>
        <v/>
      </c>
    </row>
    <row r="256" customFormat="false" ht="15" hidden="false" customHeight="false" outlineLevel="0" collapsed="false">
      <c r="A256" s="7" t="str">
        <f aca="false">IF($B256="","",$B256&amp;"|"&amp;$C256&amp;"|"&amp;$F256)</f>
        <v/>
      </c>
      <c r="B256" s="5"/>
      <c r="C256" s="5"/>
      <c r="D256" s="5"/>
      <c r="E256" s="5"/>
      <c r="F256" s="5"/>
      <c r="G256" s="5"/>
      <c r="H256" s="5"/>
      <c r="I256" s="5"/>
      <c r="J256" s="20"/>
      <c r="K256" s="20"/>
      <c r="L256" s="28"/>
      <c r="M256" s="20"/>
      <c r="N256" s="28"/>
      <c r="O256" s="19"/>
      <c r="P256" s="19"/>
      <c r="Q256" s="5"/>
      <c r="R256" s="19"/>
      <c r="S256" s="5"/>
      <c r="T256" s="20"/>
      <c r="U256" s="20"/>
      <c r="V256" s="29"/>
      <c r="W256" s="28"/>
      <c r="X256" s="19"/>
      <c r="Y256" s="19"/>
      <c r="Z256" s="5"/>
      <c r="AA256" s="19"/>
      <c r="AB256" s="5"/>
      <c r="AC256" s="5"/>
      <c r="AD256" s="5"/>
      <c r="AE256" s="5"/>
      <c r="AF256" s="30"/>
      <c r="AG256" s="30"/>
      <c r="AH256" s="30"/>
      <c r="AI256" s="30"/>
      <c r="AJ256" s="30"/>
      <c r="AK256" s="30"/>
      <c r="AL256" s="28"/>
      <c r="AM256" s="5"/>
      <c r="AN256" s="19"/>
      <c r="AO256" s="19"/>
      <c r="AP256" s="5"/>
      <c r="AQ256" s="5"/>
      <c r="AR256" s="5"/>
      <c r="AS256" s="5"/>
      <c r="AT256" s="5"/>
      <c r="AU256" s="19"/>
      <c r="AV256" s="19"/>
      <c r="AW256" s="5"/>
      <c r="AX256" s="5"/>
      <c r="AY256" s="19"/>
      <c r="AZ256" s="30"/>
      <c r="BA256" s="5"/>
      <c r="BB256" s="31" t="str">
        <f aca="false">IF(OR($T256="",$M256=""),"",$T256-$M256)</f>
        <v/>
      </c>
      <c r="BC256" s="32" t="str">
        <f aca="false">IF(OR($T256="",$M256="",$M256=0),"",($T256-$M256)/$M256)</f>
        <v/>
      </c>
      <c r="BD256" s="31" t="str">
        <f aca="false">IF(OR($U256="",$M256=""),"",$U256-$M256)</f>
        <v/>
      </c>
      <c r="BE256" s="32" t="str">
        <f aca="false">IF(OR($U256="",$M256="",$M256=0),"",($U256-$M256)/$M256)</f>
        <v/>
      </c>
      <c r="BF256" s="32" t="str">
        <f aca="false">IF(OR($U256="",$J256="",$J256=0),"",($U256-$J256)/$J256)</f>
        <v/>
      </c>
      <c r="BG256" s="32" t="str">
        <f aca="false">IF(OR($M256="",$K256="",$K256=0),"",($M256-$K256)/$K256)</f>
        <v/>
      </c>
      <c r="BH256" s="32" t="str">
        <f aca="false">IF(OR($W256="",$N256="",$N256=0),"",($W256-$N256)/$N256)</f>
        <v/>
      </c>
      <c r="BI256" s="33" t="str">
        <f aca="false">IF(OR($O256="",$X256=""),"",$O256-$X256)</f>
        <v/>
      </c>
      <c r="BJ256" s="33" t="str">
        <f aca="false">IF(OR($P256="",$Y256=""),"",$P256-$Y256)</f>
        <v/>
      </c>
      <c r="BK256" s="34" t="str">
        <f aca="false">IF(OR($AN256="",$AO256="",$AN256=0),"",$AO256/$AN256)</f>
        <v/>
      </c>
      <c r="BL256" s="34" t="str">
        <f aca="false">IF(OR($AU256="",$AV256="",$AU256=0),"",$AV256/$AU256)</f>
        <v/>
      </c>
      <c r="BM256" s="7" t="str">
        <f aca="false">IF($Z256="","",IF(AND($Z256="Y",$AB256&lt;&gt;"N",$AC256&lt;&gt;"Y"),"Y","N"))</f>
        <v/>
      </c>
      <c r="BN256" s="7" t="str">
        <f aca="false">IF($AH256="","",IF($Z256&lt;&gt;"Y","undefined",IF($AH256&lt;=1,"Y","N")))</f>
        <v/>
      </c>
      <c r="BO256" s="7" t="str">
        <f aca="false">IF($AH256="","",IF($Z256&lt;&gt;"Y","undefined",IF($AH256&lt;=10,"Y","N")))</f>
        <v/>
      </c>
      <c r="BP256" s="7" t="str">
        <f aca="false">IF($AH256="","",IF($Z256&lt;&gt;"Y","undefined",IF($AH256&lt;=100,"Y","N")))</f>
        <v/>
      </c>
    </row>
    <row r="257" customFormat="false" ht="15" hidden="false" customHeight="false" outlineLevel="0" collapsed="false">
      <c r="A257" s="7" t="str">
        <f aca="false">IF($B257="","",$B257&amp;"|"&amp;$C257&amp;"|"&amp;$F257)</f>
        <v/>
      </c>
      <c r="B257" s="5"/>
      <c r="C257" s="5"/>
      <c r="D257" s="5"/>
      <c r="E257" s="5"/>
      <c r="F257" s="5"/>
      <c r="G257" s="5"/>
      <c r="H257" s="5"/>
      <c r="I257" s="5"/>
      <c r="J257" s="20"/>
      <c r="K257" s="20"/>
      <c r="L257" s="28"/>
      <c r="M257" s="20"/>
      <c r="N257" s="28"/>
      <c r="O257" s="19"/>
      <c r="P257" s="19"/>
      <c r="Q257" s="5"/>
      <c r="R257" s="19"/>
      <c r="S257" s="5"/>
      <c r="T257" s="20"/>
      <c r="U257" s="20"/>
      <c r="V257" s="29"/>
      <c r="W257" s="28"/>
      <c r="X257" s="19"/>
      <c r="Y257" s="19"/>
      <c r="Z257" s="5"/>
      <c r="AA257" s="19"/>
      <c r="AB257" s="5"/>
      <c r="AC257" s="5"/>
      <c r="AD257" s="5"/>
      <c r="AE257" s="5"/>
      <c r="AF257" s="30"/>
      <c r="AG257" s="30"/>
      <c r="AH257" s="30"/>
      <c r="AI257" s="30"/>
      <c r="AJ257" s="30"/>
      <c r="AK257" s="30"/>
      <c r="AL257" s="28"/>
      <c r="AM257" s="5"/>
      <c r="AN257" s="19"/>
      <c r="AO257" s="19"/>
      <c r="AP257" s="5"/>
      <c r="AQ257" s="5"/>
      <c r="AR257" s="5"/>
      <c r="AS257" s="5"/>
      <c r="AT257" s="5"/>
      <c r="AU257" s="19"/>
      <c r="AV257" s="19"/>
      <c r="AW257" s="5"/>
      <c r="AX257" s="5"/>
      <c r="AY257" s="19"/>
      <c r="AZ257" s="30"/>
      <c r="BA257" s="5"/>
      <c r="BB257" s="31" t="str">
        <f aca="false">IF(OR($T257="",$M257=""),"",$T257-$M257)</f>
        <v/>
      </c>
      <c r="BC257" s="32" t="str">
        <f aca="false">IF(OR($T257="",$M257="",$M257=0),"",($T257-$M257)/$M257)</f>
        <v/>
      </c>
      <c r="BD257" s="31" t="str">
        <f aca="false">IF(OR($U257="",$M257=""),"",$U257-$M257)</f>
        <v/>
      </c>
      <c r="BE257" s="32" t="str">
        <f aca="false">IF(OR($U257="",$M257="",$M257=0),"",($U257-$M257)/$M257)</f>
        <v/>
      </c>
      <c r="BF257" s="32" t="str">
        <f aca="false">IF(OR($U257="",$J257="",$J257=0),"",($U257-$J257)/$J257)</f>
        <v/>
      </c>
      <c r="BG257" s="32" t="str">
        <f aca="false">IF(OR($M257="",$K257="",$K257=0),"",($M257-$K257)/$K257)</f>
        <v/>
      </c>
      <c r="BH257" s="32" t="str">
        <f aca="false">IF(OR($W257="",$N257="",$N257=0),"",($W257-$N257)/$N257)</f>
        <v/>
      </c>
      <c r="BI257" s="33" t="str">
        <f aca="false">IF(OR($O257="",$X257=""),"",$O257-$X257)</f>
        <v/>
      </c>
      <c r="BJ257" s="33" t="str">
        <f aca="false">IF(OR($P257="",$Y257=""),"",$P257-$Y257)</f>
        <v/>
      </c>
      <c r="BK257" s="34" t="str">
        <f aca="false">IF(OR($AN257="",$AO257="",$AN257=0),"",$AO257/$AN257)</f>
        <v/>
      </c>
      <c r="BL257" s="34" t="str">
        <f aca="false">IF(OR($AU257="",$AV257="",$AU257=0),"",$AV257/$AU257)</f>
        <v/>
      </c>
      <c r="BM257" s="7" t="str">
        <f aca="false">IF($Z257="","",IF(AND($Z257="Y",$AB257&lt;&gt;"N",$AC257&lt;&gt;"Y"),"Y","N"))</f>
        <v/>
      </c>
      <c r="BN257" s="7" t="str">
        <f aca="false">IF($AH257="","",IF($Z257&lt;&gt;"Y","undefined",IF($AH257&lt;=1,"Y","N")))</f>
        <v/>
      </c>
      <c r="BO257" s="7" t="str">
        <f aca="false">IF($AH257="","",IF($Z257&lt;&gt;"Y","undefined",IF($AH257&lt;=10,"Y","N")))</f>
        <v/>
      </c>
      <c r="BP257" s="7" t="str">
        <f aca="false">IF($AH257="","",IF($Z257&lt;&gt;"Y","undefined",IF($AH257&lt;=100,"Y","N")))</f>
        <v/>
      </c>
    </row>
    <row r="258" customFormat="false" ht="15" hidden="false" customHeight="false" outlineLevel="0" collapsed="false">
      <c r="A258" s="7" t="str">
        <f aca="false">IF($B258="","",$B258&amp;"|"&amp;$C258&amp;"|"&amp;$F258)</f>
        <v/>
      </c>
      <c r="B258" s="5"/>
      <c r="C258" s="5"/>
      <c r="D258" s="5"/>
      <c r="E258" s="5"/>
      <c r="F258" s="5"/>
      <c r="G258" s="5"/>
      <c r="H258" s="5"/>
      <c r="I258" s="5"/>
      <c r="J258" s="20"/>
      <c r="K258" s="20"/>
      <c r="L258" s="28"/>
      <c r="M258" s="20"/>
      <c r="N258" s="28"/>
      <c r="O258" s="19"/>
      <c r="P258" s="19"/>
      <c r="Q258" s="5"/>
      <c r="R258" s="19"/>
      <c r="S258" s="5"/>
      <c r="T258" s="20"/>
      <c r="U258" s="20"/>
      <c r="V258" s="29"/>
      <c r="W258" s="28"/>
      <c r="X258" s="19"/>
      <c r="Y258" s="19"/>
      <c r="Z258" s="5"/>
      <c r="AA258" s="19"/>
      <c r="AB258" s="5"/>
      <c r="AC258" s="5"/>
      <c r="AD258" s="5"/>
      <c r="AE258" s="5"/>
      <c r="AF258" s="30"/>
      <c r="AG258" s="30"/>
      <c r="AH258" s="30"/>
      <c r="AI258" s="30"/>
      <c r="AJ258" s="30"/>
      <c r="AK258" s="30"/>
      <c r="AL258" s="28"/>
      <c r="AM258" s="5"/>
      <c r="AN258" s="19"/>
      <c r="AO258" s="19"/>
      <c r="AP258" s="5"/>
      <c r="AQ258" s="5"/>
      <c r="AR258" s="5"/>
      <c r="AS258" s="5"/>
      <c r="AT258" s="5"/>
      <c r="AU258" s="19"/>
      <c r="AV258" s="19"/>
      <c r="AW258" s="5"/>
      <c r="AX258" s="5"/>
      <c r="AY258" s="19"/>
      <c r="AZ258" s="30"/>
      <c r="BA258" s="5"/>
      <c r="BB258" s="31" t="str">
        <f aca="false">IF(OR($T258="",$M258=""),"",$T258-$M258)</f>
        <v/>
      </c>
      <c r="BC258" s="32" t="str">
        <f aca="false">IF(OR($T258="",$M258="",$M258=0),"",($T258-$M258)/$M258)</f>
        <v/>
      </c>
      <c r="BD258" s="31" t="str">
        <f aca="false">IF(OR($U258="",$M258=""),"",$U258-$M258)</f>
        <v/>
      </c>
      <c r="BE258" s="32" t="str">
        <f aca="false">IF(OR($U258="",$M258="",$M258=0),"",($U258-$M258)/$M258)</f>
        <v/>
      </c>
      <c r="BF258" s="32" t="str">
        <f aca="false">IF(OR($U258="",$J258="",$J258=0),"",($U258-$J258)/$J258)</f>
        <v/>
      </c>
      <c r="BG258" s="32" t="str">
        <f aca="false">IF(OR($M258="",$K258="",$K258=0),"",($M258-$K258)/$K258)</f>
        <v/>
      </c>
      <c r="BH258" s="32" t="str">
        <f aca="false">IF(OR($W258="",$N258="",$N258=0),"",($W258-$N258)/$N258)</f>
        <v/>
      </c>
      <c r="BI258" s="33" t="str">
        <f aca="false">IF(OR($O258="",$X258=""),"",$O258-$X258)</f>
        <v/>
      </c>
      <c r="BJ258" s="33" t="str">
        <f aca="false">IF(OR($P258="",$Y258=""),"",$P258-$Y258)</f>
        <v/>
      </c>
      <c r="BK258" s="34" t="str">
        <f aca="false">IF(OR($AN258="",$AO258="",$AN258=0),"",$AO258/$AN258)</f>
        <v/>
      </c>
      <c r="BL258" s="34" t="str">
        <f aca="false">IF(OR($AU258="",$AV258="",$AU258=0),"",$AV258/$AU258)</f>
        <v/>
      </c>
      <c r="BM258" s="7" t="str">
        <f aca="false">IF($Z258="","",IF(AND($Z258="Y",$AB258&lt;&gt;"N",$AC258&lt;&gt;"Y"),"Y","N"))</f>
        <v/>
      </c>
      <c r="BN258" s="7" t="str">
        <f aca="false">IF($AH258="","",IF($Z258&lt;&gt;"Y","undefined",IF($AH258&lt;=1,"Y","N")))</f>
        <v/>
      </c>
      <c r="BO258" s="7" t="str">
        <f aca="false">IF($AH258="","",IF($Z258&lt;&gt;"Y","undefined",IF($AH258&lt;=10,"Y","N")))</f>
        <v/>
      </c>
      <c r="BP258" s="7" t="str">
        <f aca="false">IF($AH258="","",IF($Z258&lt;&gt;"Y","undefined",IF($AH258&lt;=100,"Y","N")))</f>
        <v/>
      </c>
    </row>
    <row r="259" customFormat="false" ht="15" hidden="false" customHeight="false" outlineLevel="0" collapsed="false">
      <c r="A259" s="7" t="str">
        <f aca="false">IF($B259="","",$B259&amp;"|"&amp;$C259&amp;"|"&amp;$F259)</f>
        <v/>
      </c>
      <c r="B259" s="5"/>
      <c r="C259" s="5"/>
      <c r="D259" s="5"/>
      <c r="E259" s="5"/>
      <c r="F259" s="5"/>
      <c r="G259" s="5"/>
      <c r="H259" s="5"/>
      <c r="I259" s="5"/>
      <c r="J259" s="20"/>
      <c r="K259" s="20"/>
      <c r="L259" s="28"/>
      <c r="M259" s="20"/>
      <c r="N259" s="28"/>
      <c r="O259" s="19"/>
      <c r="P259" s="19"/>
      <c r="Q259" s="5"/>
      <c r="R259" s="19"/>
      <c r="S259" s="5"/>
      <c r="T259" s="20"/>
      <c r="U259" s="20"/>
      <c r="V259" s="29"/>
      <c r="W259" s="28"/>
      <c r="X259" s="19"/>
      <c r="Y259" s="19"/>
      <c r="Z259" s="5"/>
      <c r="AA259" s="19"/>
      <c r="AB259" s="5"/>
      <c r="AC259" s="5"/>
      <c r="AD259" s="5"/>
      <c r="AE259" s="5"/>
      <c r="AF259" s="30"/>
      <c r="AG259" s="30"/>
      <c r="AH259" s="30"/>
      <c r="AI259" s="30"/>
      <c r="AJ259" s="30"/>
      <c r="AK259" s="30"/>
      <c r="AL259" s="28"/>
      <c r="AM259" s="5"/>
      <c r="AN259" s="19"/>
      <c r="AO259" s="19"/>
      <c r="AP259" s="5"/>
      <c r="AQ259" s="5"/>
      <c r="AR259" s="5"/>
      <c r="AS259" s="5"/>
      <c r="AT259" s="5"/>
      <c r="AU259" s="19"/>
      <c r="AV259" s="19"/>
      <c r="AW259" s="5"/>
      <c r="AX259" s="5"/>
      <c r="AY259" s="19"/>
      <c r="AZ259" s="30"/>
      <c r="BA259" s="5"/>
      <c r="BB259" s="31" t="str">
        <f aca="false">IF(OR($T259="",$M259=""),"",$T259-$M259)</f>
        <v/>
      </c>
      <c r="BC259" s="32" t="str">
        <f aca="false">IF(OR($T259="",$M259="",$M259=0),"",($T259-$M259)/$M259)</f>
        <v/>
      </c>
      <c r="BD259" s="31" t="str">
        <f aca="false">IF(OR($U259="",$M259=""),"",$U259-$M259)</f>
        <v/>
      </c>
      <c r="BE259" s="32" t="str">
        <f aca="false">IF(OR($U259="",$M259="",$M259=0),"",($U259-$M259)/$M259)</f>
        <v/>
      </c>
      <c r="BF259" s="32" t="str">
        <f aca="false">IF(OR($U259="",$J259="",$J259=0),"",($U259-$J259)/$J259)</f>
        <v/>
      </c>
      <c r="BG259" s="32" t="str">
        <f aca="false">IF(OR($M259="",$K259="",$K259=0),"",($M259-$K259)/$K259)</f>
        <v/>
      </c>
      <c r="BH259" s="32" t="str">
        <f aca="false">IF(OR($W259="",$N259="",$N259=0),"",($W259-$N259)/$N259)</f>
        <v/>
      </c>
      <c r="BI259" s="33" t="str">
        <f aca="false">IF(OR($O259="",$X259=""),"",$O259-$X259)</f>
        <v/>
      </c>
      <c r="BJ259" s="33" t="str">
        <f aca="false">IF(OR($P259="",$Y259=""),"",$P259-$Y259)</f>
        <v/>
      </c>
      <c r="BK259" s="34" t="str">
        <f aca="false">IF(OR($AN259="",$AO259="",$AN259=0),"",$AO259/$AN259)</f>
        <v/>
      </c>
      <c r="BL259" s="34" t="str">
        <f aca="false">IF(OR($AU259="",$AV259="",$AU259=0),"",$AV259/$AU259)</f>
        <v/>
      </c>
      <c r="BM259" s="7" t="str">
        <f aca="false">IF($Z259="","",IF(AND($Z259="Y",$AB259&lt;&gt;"N",$AC259&lt;&gt;"Y"),"Y","N"))</f>
        <v/>
      </c>
      <c r="BN259" s="7" t="str">
        <f aca="false">IF($AH259="","",IF($Z259&lt;&gt;"Y","undefined",IF($AH259&lt;=1,"Y","N")))</f>
        <v/>
      </c>
      <c r="BO259" s="7" t="str">
        <f aca="false">IF($AH259="","",IF($Z259&lt;&gt;"Y","undefined",IF($AH259&lt;=10,"Y","N")))</f>
        <v/>
      </c>
      <c r="BP259" s="7" t="str">
        <f aca="false">IF($AH259="","",IF($Z259&lt;&gt;"Y","undefined",IF($AH259&lt;=100,"Y","N")))</f>
        <v/>
      </c>
    </row>
    <row r="260" customFormat="false" ht="15" hidden="false" customHeight="false" outlineLevel="0" collapsed="false">
      <c r="A260" s="7" t="str">
        <f aca="false">IF($B260="","",$B260&amp;"|"&amp;$C260&amp;"|"&amp;$F260)</f>
        <v/>
      </c>
      <c r="B260" s="5"/>
      <c r="C260" s="5"/>
      <c r="D260" s="5"/>
      <c r="E260" s="5"/>
      <c r="F260" s="5"/>
      <c r="G260" s="5"/>
      <c r="H260" s="5"/>
      <c r="I260" s="5"/>
      <c r="J260" s="20"/>
      <c r="K260" s="20"/>
      <c r="L260" s="28"/>
      <c r="M260" s="20"/>
      <c r="N260" s="28"/>
      <c r="O260" s="19"/>
      <c r="P260" s="19"/>
      <c r="Q260" s="5"/>
      <c r="R260" s="19"/>
      <c r="S260" s="5"/>
      <c r="T260" s="20"/>
      <c r="U260" s="20"/>
      <c r="V260" s="29"/>
      <c r="W260" s="28"/>
      <c r="X260" s="19"/>
      <c r="Y260" s="19"/>
      <c r="Z260" s="5"/>
      <c r="AA260" s="19"/>
      <c r="AB260" s="5"/>
      <c r="AC260" s="5"/>
      <c r="AD260" s="5"/>
      <c r="AE260" s="5"/>
      <c r="AF260" s="30"/>
      <c r="AG260" s="30"/>
      <c r="AH260" s="30"/>
      <c r="AI260" s="30"/>
      <c r="AJ260" s="30"/>
      <c r="AK260" s="30"/>
      <c r="AL260" s="28"/>
      <c r="AM260" s="5"/>
      <c r="AN260" s="19"/>
      <c r="AO260" s="19"/>
      <c r="AP260" s="5"/>
      <c r="AQ260" s="5"/>
      <c r="AR260" s="5"/>
      <c r="AS260" s="5"/>
      <c r="AT260" s="5"/>
      <c r="AU260" s="19"/>
      <c r="AV260" s="19"/>
      <c r="AW260" s="5"/>
      <c r="AX260" s="5"/>
      <c r="AY260" s="19"/>
      <c r="AZ260" s="30"/>
      <c r="BA260" s="5"/>
      <c r="BB260" s="31" t="str">
        <f aca="false">IF(OR($T260="",$M260=""),"",$T260-$M260)</f>
        <v/>
      </c>
      <c r="BC260" s="32" t="str">
        <f aca="false">IF(OR($T260="",$M260="",$M260=0),"",($T260-$M260)/$M260)</f>
        <v/>
      </c>
      <c r="BD260" s="31" t="str">
        <f aca="false">IF(OR($U260="",$M260=""),"",$U260-$M260)</f>
        <v/>
      </c>
      <c r="BE260" s="32" t="str">
        <f aca="false">IF(OR($U260="",$M260="",$M260=0),"",($U260-$M260)/$M260)</f>
        <v/>
      </c>
      <c r="BF260" s="32" t="str">
        <f aca="false">IF(OR($U260="",$J260="",$J260=0),"",($U260-$J260)/$J260)</f>
        <v/>
      </c>
      <c r="BG260" s="32" t="str">
        <f aca="false">IF(OR($M260="",$K260="",$K260=0),"",($M260-$K260)/$K260)</f>
        <v/>
      </c>
      <c r="BH260" s="32" t="str">
        <f aca="false">IF(OR($W260="",$N260="",$N260=0),"",($W260-$N260)/$N260)</f>
        <v/>
      </c>
      <c r="BI260" s="33" t="str">
        <f aca="false">IF(OR($O260="",$X260=""),"",$O260-$X260)</f>
        <v/>
      </c>
      <c r="BJ260" s="33" t="str">
        <f aca="false">IF(OR($P260="",$Y260=""),"",$P260-$Y260)</f>
        <v/>
      </c>
      <c r="BK260" s="34" t="str">
        <f aca="false">IF(OR($AN260="",$AO260="",$AN260=0),"",$AO260/$AN260)</f>
        <v/>
      </c>
      <c r="BL260" s="34" t="str">
        <f aca="false">IF(OR($AU260="",$AV260="",$AU260=0),"",$AV260/$AU260)</f>
        <v/>
      </c>
      <c r="BM260" s="7" t="str">
        <f aca="false">IF($Z260="","",IF(AND($Z260="Y",$AB260&lt;&gt;"N",$AC260&lt;&gt;"Y"),"Y","N"))</f>
        <v/>
      </c>
      <c r="BN260" s="7" t="str">
        <f aca="false">IF($AH260="","",IF($Z260&lt;&gt;"Y","undefined",IF($AH260&lt;=1,"Y","N")))</f>
        <v/>
      </c>
      <c r="BO260" s="7" t="str">
        <f aca="false">IF($AH260="","",IF($Z260&lt;&gt;"Y","undefined",IF($AH260&lt;=10,"Y","N")))</f>
        <v/>
      </c>
      <c r="BP260" s="7" t="str">
        <f aca="false">IF($AH260="","",IF($Z260&lt;&gt;"Y","undefined",IF($AH260&lt;=100,"Y","N")))</f>
        <v/>
      </c>
    </row>
    <row r="261" customFormat="false" ht="15" hidden="false" customHeight="false" outlineLevel="0" collapsed="false">
      <c r="A261" s="7" t="str">
        <f aca="false">IF($B261="","",$B261&amp;"|"&amp;$C261&amp;"|"&amp;$F261)</f>
        <v/>
      </c>
      <c r="B261" s="5"/>
      <c r="C261" s="5"/>
      <c r="D261" s="5"/>
      <c r="E261" s="5"/>
      <c r="F261" s="5"/>
      <c r="G261" s="5"/>
      <c r="H261" s="5"/>
      <c r="I261" s="5"/>
      <c r="J261" s="20"/>
      <c r="K261" s="20"/>
      <c r="L261" s="28"/>
      <c r="M261" s="20"/>
      <c r="N261" s="28"/>
      <c r="O261" s="19"/>
      <c r="P261" s="19"/>
      <c r="Q261" s="5"/>
      <c r="R261" s="19"/>
      <c r="S261" s="5"/>
      <c r="T261" s="20"/>
      <c r="U261" s="20"/>
      <c r="V261" s="29"/>
      <c r="W261" s="28"/>
      <c r="X261" s="19"/>
      <c r="Y261" s="19"/>
      <c r="Z261" s="5"/>
      <c r="AA261" s="19"/>
      <c r="AB261" s="5"/>
      <c r="AC261" s="5"/>
      <c r="AD261" s="5"/>
      <c r="AE261" s="5"/>
      <c r="AF261" s="30"/>
      <c r="AG261" s="30"/>
      <c r="AH261" s="30"/>
      <c r="AI261" s="30"/>
      <c r="AJ261" s="30"/>
      <c r="AK261" s="30"/>
      <c r="AL261" s="28"/>
      <c r="AM261" s="5"/>
      <c r="AN261" s="19"/>
      <c r="AO261" s="19"/>
      <c r="AP261" s="5"/>
      <c r="AQ261" s="5"/>
      <c r="AR261" s="5"/>
      <c r="AS261" s="5"/>
      <c r="AT261" s="5"/>
      <c r="AU261" s="19"/>
      <c r="AV261" s="19"/>
      <c r="AW261" s="5"/>
      <c r="AX261" s="5"/>
      <c r="AY261" s="19"/>
      <c r="AZ261" s="30"/>
      <c r="BA261" s="5"/>
      <c r="BB261" s="31" t="str">
        <f aca="false">IF(OR($T261="",$M261=""),"",$T261-$M261)</f>
        <v/>
      </c>
      <c r="BC261" s="32" t="str">
        <f aca="false">IF(OR($T261="",$M261="",$M261=0),"",($T261-$M261)/$M261)</f>
        <v/>
      </c>
      <c r="BD261" s="31" t="str">
        <f aca="false">IF(OR($U261="",$M261=""),"",$U261-$M261)</f>
        <v/>
      </c>
      <c r="BE261" s="32" t="str">
        <f aca="false">IF(OR($U261="",$M261="",$M261=0),"",($U261-$M261)/$M261)</f>
        <v/>
      </c>
      <c r="BF261" s="32" t="str">
        <f aca="false">IF(OR($U261="",$J261="",$J261=0),"",($U261-$J261)/$J261)</f>
        <v/>
      </c>
      <c r="BG261" s="32" t="str">
        <f aca="false">IF(OR($M261="",$K261="",$K261=0),"",($M261-$K261)/$K261)</f>
        <v/>
      </c>
      <c r="BH261" s="32" t="str">
        <f aca="false">IF(OR($W261="",$N261="",$N261=0),"",($W261-$N261)/$N261)</f>
        <v/>
      </c>
      <c r="BI261" s="33" t="str">
        <f aca="false">IF(OR($O261="",$X261=""),"",$O261-$X261)</f>
        <v/>
      </c>
      <c r="BJ261" s="33" t="str">
        <f aca="false">IF(OR($P261="",$Y261=""),"",$P261-$Y261)</f>
        <v/>
      </c>
      <c r="BK261" s="34" t="str">
        <f aca="false">IF(OR($AN261="",$AO261="",$AN261=0),"",$AO261/$AN261)</f>
        <v/>
      </c>
      <c r="BL261" s="34" t="str">
        <f aca="false">IF(OR($AU261="",$AV261="",$AU261=0),"",$AV261/$AU261)</f>
        <v/>
      </c>
      <c r="BM261" s="7" t="str">
        <f aca="false">IF($Z261="","",IF(AND($Z261="Y",$AB261&lt;&gt;"N",$AC261&lt;&gt;"Y"),"Y","N"))</f>
        <v/>
      </c>
      <c r="BN261" s="7" t="str">
        <f aca="false">IF($AH261="","",IF($Z261&lt;&gt;"Y","undefined",IF($AH261&lt;=1,"Y","N")))</f>
        <v/>
      </c>
      <c r="BO261" s="7" t="str">
        <f aca="false">IF($AH261="","",IF($Z261&lt;&gt;"Y","undefined",IF($AH261&lt;=10,"Y","N")))</f>
        <v/>
      </c>
      <c r="BP261" s="7" t="str">
        <f aca="false">IF($AH261="","",IF($Z261&lt;&gt;"Y","undefined",IF($AH261&lt;=100,"Y","N")))</f>
        <v/>
      </c>
    </row>
    <row r="262" customFormat="false" ht="15" hidden="false" customHeight="false" outlineLevel="0" collapsed="false">
      <c r="A262" s="7" t="str">
        <f aca="false">IF($B262="","",$B262&amp;"|"&amp;$C262&amp;"|"&amp;$F262)</f>
        <v/>
      </c>
      <c r="B262" s="5"/>
      <c r="C262" s="5"/>
      <c r="D262" s="5"/>
      <c r="E262" s="5"/>
      <c r="F262" s="5"/>
      <c r="G262" s="5"/>
      <c r="H262" s="5"/>
      <c r="I262" s="5"/>
      <c r="J262" s="20"/>
      <c r="K262" s="20"/>
      <c r="L262" s="28"/>
      <c r="M262" s="20"/>
      <c r="N262" s="28"/>
      <c r="O262" s="19"/>
      <c r="P262" s="19"/>
      <c r="Q262" s="5"/>
      <c r="R262" s="19"/>
      <c r="S262" s="5"/>
      <c r="T262" s="20"/>
      <c r="U262" s="20"/>
      <c r="V262" s="29"/>
      <c r="W262" s="28"/>
      <c r="X262" s="19"/>
      <c r="Y262" s="19"/>
      <c r="Z262" s="5"/>
      <c r="AA262" s="19"/>
      <c r="AB262" s="5"/>
      <c r="AC262" s="5"/>
      <c r="AD262" s="5"/>
      <c r="AE262" s="5"/>
      <c r="AF262" s="30"/>
      <c r="AG262" s="30"/>
      <c r="AH262" s="30"/>
      <c r="AI262" s="30"/>
      <c r="AJ262" s="30"/>
      <c r="AK262" s="30"/>
      <c r="AL262" s="28"/>
      <c r="AM262" s="5"/>
      <c r="AN262" s="19"/>
      <c r="AO262" s="19"/>
      <c r="AP262" s="5"/>
      <c r="AQ262" s="5"/>
      <c r="AR262" s="5"/>
      <c r="AS262" s="5"/>
      <c r="AT262" s="5"/>
      <c r="AU262" s="19"/>
      <c r="AV262" s="19"/>
      <c r="AW262" s="5"/>
      <c r="AX262" s="5"/>
      <c r="AY262" s="19"/>
      <c r="AZ262" s="30"/>
      <c r="BA262" s="5"/>
      <c r="BB262" s="31" t="str">
        <f aca="false">IF(OR($T262="",$M262=""),"",$T262-$M262)</f>
        <v/>
      </c>
      <c r="BC262" s="32" t="str">
        <f aca="false">IF(OR($T262="",$M262="",$M262=0),"",($T262-$M262)/$M262)</f>
        <v/>
      </c>
      <c r="BD262" s="31" t="str">
        <f aca="false">IF(OR($U262="",$M262=""),"",$U262-$M262)</f>
        <v/>
      </c>
      <c r="BE262" s="32" t="str">
        <f aca="false">IF(OR($U262="",$M262="",$M262=0),"",($U262-$M262)/$M262)</f>
        <v/>
      </c>
      <c r="BF262" s="32" t="str">
        <f aca="false">IF(OR($U262="",$J262="",$J262=0),"",($U262-$J262)/$J262)</f>
        <v/>
      </c>
      <c r="BG262" s="32" t="str">
        <f aca="false">IF(OR($M262="",$K262="",$K262=0),"",($M262-$K262)/$K262)</f>
        <v/>
      </c>
      <c r="BH262" s="32" t="str">
        <f aca="false">IF(OR($W262="",$N262="",$N262=0),"",($W262-$N262)/$N262)</f>
        <v/>
      </c>
      <c r="BI262" s="33" t="str">
        <f aca="false">IF(OR($O262="",$X262=""),"",$O262-$X262)</f>
        <v/>
      </c>
      <c r="BJ262" s="33" t="str">
        <f aca="false">IF(OR($P262="",$Y262=""),"",$P262-$Y262)</f>
        <v/>
      </c>
      <c r="BK262" s="34" t="str">
        <f aca="false">IF(OR($AN262="",$AO262="",$AN262=0),"",$AO262/$AN262)</f>
        <v/>
      </c>
      <c r="BL262" s="34" t="str">
        <f aca="false">IF(OR($AU262="",$AV262="",$AU262=0),"",$AV262/$AU262)</f>
        <v/>
      </c>
      <c r="BM262" s="7" t="str">
        <f aca="false">IF($Z262="","",IF(AND($Z262="Y",$AB262&lt;&gt;"N",$AC262&lt;&gt;"Y"),"Y","N"))</f>
        <v/>
      </c>
      <c r="BN262" s="7" t="str">
        <f aca="false">IF($AH262="","",IF($Z262&lt;&gt;"Y","undefined",IF($AH262&lt;=1,"Y","N")))</f>
        <v/>
      </c>
      <c r="BO262" s="7" t="str">
        <f aca="false">IF($AH262="","",IF($Z262&lt;&gt;"Y","undefined",IF($AH262&lt;=10,"Y","N")))</f>
        <v/>
      </c>
      <c r="BP262" s="7" t="str">
        <f aca="false">IF($AH262="","",IF($Z262&lt;&gt;"Y","undefined",IF($AH262&lt;=100,"Y","N")))</f>
        <v/>
      </c>
    </row>
    <row r="263" customFormat="false" ht="15" hidden="false" customHeight="false" outlineLevel="0" collapsed="false">
      <c r="A263" s="7" t="str">
        <f aca="false">IF($B263="","",$B263&amp;"|"&amp;$C263&amp;"|"&amp;$F263)</f>
        <v/>
      </c>
      <c r="B263" s="5"/>
      <c r="C263" s="5"/>
      <c r="D263" s="5"/>
      <c r="E263" s="5"/>
      <c r="F263" s="5"/>
      <c r="G263" s="5"/>
      <c r="H263" s="5"/>
      <c r="I263" s="5"/>
      <c r="J263" s="20"/>
      <c r="K263" s="20"/>
      <c r="L263" s="28"/>
      <c r="M263" s="20"/>
      <c r="N263" s="28"/>
      <c r="O263" s="19"/>
      <c r="P263" s="19"/>
      <c r="Q263" s="5"/>
      <c r="R263" s="19"/>
      <c r="S263" s="5"/>
      <c r="T263" s="20"/>
      <c r="U263" s="20"/>
      <c r="V263" s="29"/>
      <c r="W263" s="28"/>
      <c r="X263" s="19"/>
      <c r="Y263" s="19"/>
      <c r="Z263" s="5"/>
      <c r="AA263" s="19"/>
      <c r="AB263" s="5"/>
      <c r="AC263" s="5"/>
      <c r="AD263" s="5"/>
      <c r="AE263" s="5"/>
      <c r="AF263" s="30"/>
      <c r="AG263" s="30"/>
      <c r="AH263" s="30"/>
      <c r="AI263" s="30"/>
      <c r="AJ263" s="30"/>
      <c r="AK263" s="30"/>
      <c r="AL263" s="28"/>
      <c r="AM263" s="5"/>
      <c r="AN263" s="19"/>
      <c r="AO263" s="19"/>
      <c r="AP263" s="5"/>
      <c r="AQ263" s="5"/>
      <c r="AR263" s="5"/>
      <c r="AS263" s="5"/>
      <c r="AT263" s="5"/>
      <c r="AU263" s="19"/>
      <c r="AV263" s="19"/>
      <c r="AW263" s="5"/>
      <c r="AX263" s="5"/>
      <c r="AY263" s="19"/>
      <c r="AZ263" s="30"/>
      <c r="BA263" s="5"/>
      <c r="BB263" s="31" t="str">
        <f aca="false">IF(OR($T263="",$M263=""),"",$T263-$M263)</f>
        <v/>
      </c>
      <c r="BC263" s="32" t="str">
        <f aca="false">IF(OR($T263="",$M263="",$M263=0),"",($T263-$M263)/$M263)</f>
        <v/>
      </c>
      <c r="BD263" s="31" t="str">
        <f aca="false">IF(OR($U263="",$M263=""),"",$U263-$M263)</f>
        <v/>
      </c>
      <c r="BE263" s="32" t="str">
        <f aca="false">IF(OR($U263="",$M263="",$M263=0),"",($U263-$M263)/$M263)</f>
        <v/>
      </c>
      <c r="BF263" s="32" t="str">
        <f aca="false">IF(OR($U263="",$J263="",$J263=0),"",($U263-$J263)/$J263)</f>
        <v/>
      </c>
      <c r="BG263" s="32" t="str">
        <f aca="false">IF(OR($M263="",$K263="",$K263=0),"",($M263-$K263)/$K263)</f>
        <v/>
      </c>
      <c r="BH263" s="32" t="str">
        <f aca="false">IF(OR($W263="",$N263="",$N263=0),"",($W263-$N263)/$N263)</f>
        <v/>
      </c>
      <c r="BI263" s="33" t="str">
        <f aca="false">IF(OR($O263="",$X263=""),"",$O263-$X263)</f>
        <v/>
      </c>
      <c r="BJ263" s="33" t="str">
        <f aca="false">IF(OR($P263="",$Y263=""),"",$P263-$Y263)</f>
        <v/>
      </c>
      <c r="BK263" s="34" t="str">
        <f aca="false">IF(OR($AN263="",$AO263="",$AN263=0),"",$AO263/$AN263)</f>
        <v/>
      </c>
      <c r="BL263" s="34" t="str">
        <f aca="false">IF(OR($AU263="",$AV263="",$AU263=0),"",$AV263/$AU263)</f>
        <v/>
      </c>
      <c r="BM263" s="7" t="str">
        <f aca="false">IF($Z263="","",IF(AND($Z263="Y",$AB263&lt;&gt;"N",$AC263&lt;&gt;"Y"),"Y","N"))</f>
        <v/>
      </c>
      <c r="BN263" s="7" t="str">
        <f aca="false">IF($AH263="","",IF($Z263&lt;&gt;"Y","undefined",IF($AH263&lt;=1,"Y","N")))</f>
        <v/>
      </c>
      <c r="BO263" s="7" t="str">
        <f aca="false">IF($AH263="","",IF($Z263&lt;&gt;"Y","undefined",IF($AH263&lt;=10,"Y","N")))</f>
        <v/>
      </c>
      <c r="BP263" s="7" t="str">
        <f aca="false">IF($AH263="","",IF($Z263&lt;&gt;"Y","undefined",IF($AH263&lt;=100,"Y","N")))</f>
        <v/>
      </c>
    </row>
    <row r="264" customFormat="false" ht="15" hidden="false" customHeight="false" outlineLevel="0" collapsed="false">
      <c r="A264" s="7" t="str">
        <f aca="false">IF($B264="","",$B264&amp;"|"&amp;$C264&amp;"|"&amp;$F264)</f>
        <v/>
      </c>
      <c r="B264" s="5"/>
      <c r="C264" s="5"/>
      <c r="D264" s="5"/>
      <c r="E264" s="5"/>
      <c r="F264" s="5"/>
      <c r="G264" s="5"/>
      <c r="H264" s="5"/>
      <c r="I264" s="5"/>
      <c r="J264" s="20"/>
      <c r="K264" s="20"/>
      <c r="L264" s="28"/>
      <c r="M264" s="20"/>
      <c r="N264" s="28"/>
      <c r="O264" s="19"/>
      <c r="P264" s="19"/>
      <c r="Q264" s="5"/>
      <c r="R264" s="19"/>
      <c r="S264" s="5"/>
      <c r="T264" s="20"/>
      <c r="U264" s="20"/>
      <c r="V264" s="29"/>
      <c r="W264" s="28"/>
      <c r="X264" s="19"/>
      <c r="Y264" s="19"/>
      <c r="Z264" s="5"/>
      <c r="AA264" s="19"/>
      <c r="AB264" s="5"/>
      <c r="AC264" s="5"/>
      <c r="AD264" s="5"/>
      <c r="AE264" s="5"/>
      <c r="AF264" s="30"/>
      <c r="AG264" s="30"/>
      <c r="AH264" s="30"/>
      <c r="AI264" s="30"/>
      <c r="AJ264" s="30"/>
      <c r="AK264" s="30"/>
      <c r="AL264" s="28"/>
      <c r="AM264" s="5"/>
      <c r="AN264" s="19"/>
      <c r="AO264" s="19"/>
      <c r="AP264" s="5"/>
      <c r="AQ264" s="5"/>
      <c r="AR264" s="5"/>
      <c r="AS264" s="5"/>
      <c r="AT264" s="5"/>
      <c r="AU264" s="19"/>
      <c r="AV264" s="19"/>
      <c r="AW264" s="5"/>
      <c r="AX264" s="5"/>
      <c r="AY264" s="19"/>
      <c r="AZ264" s="30"/>
      <c r="BA264" s="5"/>
      <c r="BB264" s="31" t="str">
        <f aca="false">IF(OR($T264="",$M264=""),"",$T264-$M264)</f>
        <v/>
      </c>
      <c r="BC264" s="32" t="str">
        <f aca="false">IF(OR($T264="",$M264="",$M264=0),"",($T264-$M264)/$M264)</f>
        <v/>
      </c>
      <c r="BD264" s="31" t="str">
        <f aca="false">IF(OR($U264="",$M264=""),"",$U264-$M264)</f>
        <v/>
      </c>
      <c r="BE264" s="32" t="str">
        <f aca="false">IF(OR($U264="",$M264="",$M264=0),"",($U264-$M264)/$M264)</f>
        <v/>
      </c>
      <c r="BF264" s="32" t="str">
        <f aca="false">IF(OR($U264="",$J264="",$J264=0),"",($U264-$J264)/$J264)</f>
        <v/>
      </c>
      <c r="BG264" s="32" t="str">
        <f aca="false">IF(OR($M264="",$K264="",$K264=0),"",($M264-$K264)/$K264)</f>
        <v/>
      </c>
      <c r="BH264" s="32" t="str">
        <f aca="false">IF(OR($W264="",$N264="",$N264=0),"",($W264-$N264)/$N264)</f>
        <v/>
      </c>
      <c r="BI264" s="33" t="str">
        <f aca="false">IF(OR($O264="",$X264=""),"",$O264-$X264)</f>
        <v/>
      </c>
      <c r="BJ264" s="33" t="str">
        <f aca="false">IF(OR($P264="",$Y264=""),"",$P264-$Y264)</f>
        <v/>
      </c>
      <c r="BK264" s="34" t="str">
        <f aca="false">IF(OR($AN264="",$AO264="",$AN264=0),"",$AO264/$AN264)</f>
        <v/>
      </c>
      <c r="BL264" s="34" t="str">
        <f aca="false">IF(OR($AU264="",$AV264="",$AU264=0),"",$AV264/$AU264)</f>
        <v/>
      </c>
      <c r="BM264" s="7" t="str">
        <f aca="false">IF($Z264="","",IF(AND($Z264="Y",$AB264&lt;&gt;"N",$AC264&lt;&gt;"Y"),"Y","N"))</f>
        <v/>
      </c>
      <c r="BN264" s="7" t="str">
        <f aca="false">IF($AH264="","",IF($Z264&lt;&gt;"Y","undefined",IF($AH264&lt;=1,"Y","N")))</f>
        <v/>
      </c>
      <c r="BO264" s="7" t="str">
        <f aca="false">IF($AH264="","",IF($Z264&lt;&gt;"Y","undefined",IF($AH264&lt;=10,"Y","N")))</f>
        <v/>
      </c>
      <c r="BP264" s="7" t="str">
        <f aca="false">IF($AH264="","",IF($Z264&lt;&gt;"Y","undefined",IF($AH264&lt;=100,"Y","N")))</f>
        <v/>
      </c>
    </row>
    <row r="265" customFormat="false" ht="15" hidden="false" customHeight="false" outlineLevel="0" collapsed="false">
      <c r="A265" s="7" t="str">
        <f aca="false">IF($B265="","",$B265&amp;"|"&amp;$C265&amp;"|"&amp;$F265)</f>
        <v/>
      </c>
      <c r="B265" s="5"/>
      <c r="C265" s="5"/>
      <c r="D265" s="5"/>
      <c r="E265" s="5"/>
      <c r="F265" s="5"/>
      <c r="G265" s="5"/>
      <c r="H265" s="5"/>
      <c r="I265" s="5"/>
      <c r="J265" s="20"/>
      <c r="K265" s="20"/>
      <c r="L265" s="28"/>
      <c r="M265" s="20"/>
      <c r="N265" s="28"/>
      <c r="O265" s="19"/>
      <c r="P265" s="19"/>
      <c r="Q265" s="5"/>
      <c r="R265" s="19"/>
      <c r="S265" s="5"/>
      <c r="T265" s="20"/>
      <c r="U265" s="20"/>
      <c r="V265" s="29"/>
      <c r="W265" s="28"/>
      <c r="X265" s="19"/>
      <c r="Y265" s="19"/>
      <c r="Z265" s="5"/>
      <c r="AA265" s="19"/>
      <c r="AB265" s="5"/>
      <c r="AC265" s="5"/>
      <c r="AD265" s="5"/>
      <c r="AE265" s="5"/>
      <c r="AF265" s="30"/>
      <c r="AG265" s="30"/>
      <c r="AH265" s="30"/>
      <c r="AI265" s="30"/>
      <c r="AJ265" s="30"/>
      <c r="AK265" s="30"/>
      <c r="AL265" s="28"/>
      <c r="AM265" s="5"/>
      <c r="AN265" s="19"/>
      <c r="AO265" s="19"/>
      <c r="AP265" s="5"/>
      <c r="AQ265" s="5"/>
      <c r="AR265" s="5"/>
      <c r="AS265" s="5"/>
      <c r="AT265" s="5"/>
      <c r="AU265" s="19"/>
      <c r="AV265" s="19"/>
      <c r="AW265" s="5"/>
      <c r="AX265" s="5"/>
      <c r="AY265" s="19"/>
      <c r="AZ265" s="30"/>
      <c r="BA265" s="5"/>
      <c r="BB265" s="31" t="str">
        <f aca="false">IF(OR($T265="",$M265=""),"",$T265-$M265)</f>
        <v/>
      </c>
      <c r="BC265" s="32" t="str">
        <f aca="false">IF(OR($T265="",$M265="",$M265=0),"",($T265-$M265)/$M265)</f>
        <v/>
      </c>
      <c r="BD265" s="31" t="str">
        <f aca="false">IF(OR($U265="",$M265=""),"",$U265-$M265)</f>
        <v/>
      </c>
      <c r="BE265" s="32" t="str">
        <f aca="false">IF(OR($U265="",$M265="",$M265=0),"",($U265-$M265)/$M265)</f>
        <v/>
      </c>
      <c r="BF265" s="32" t="str">
        <f aca="false">IF(OR($U265="",$J265="",$J265=0),"",($U265-$J265)/$J265)</f>
        <v/>
      </c>
      <c r="BG265" s="32" t="str">
        <f aca="false">IF(OR($M265="",$K265="",$K265=0),"",($M265-$K265)/$K265)</f>
        <v/>
      </c>
      <c r="BH265" s="32" t="str">
        <f aca="false">IF(OR($W265="",$N265="",$N265=0),"",($W265-$N265)/$N265)</f>
        <v/>
      </c>
      <c r="BI265" s="33" t="str">
        <f aca="false">IF(OR($O265="",$X265=""),"",$O265-$X265)</f>
        <v/>
      </c>
      <c r="BJ265" s="33" t="str">
        <f aca="false">IF(OR($P265="",$Y265=""),"",$P265-$Y265)</f>
        <v/>
      </c>
      <c r="BK265" s="34" t="str">
        <f aca="false">IF(OR($AN265="",$AO265="",$AN265=0),"",$AO265/$AN265)</f>
        <v/>
      </c>
      <c r="BL265" s="34" t="str">
        <f aca="false">IF(OR($AU265="",$AV265="",$AU265=0),"",$AV265/$AU265)</f>
        <v/>
      </c>
      <c r="BM265" s="7" t="str">
        <f aca="false">IF($Z265="","",IF(AND($Z265="Y",$AB265&lt;&gt;"N",$AC265&lt;&gt;"Y"),"Y","N"))</f>
        <v/>
      </c>
      <c r="BN265" s="7" t="str">
        <f aca="false">IF($AH265="","",IF($Z265&lt;&gt;"Y","undefined",IF($AH265&lt;=1,"Y","N")))</f>
        <v/>
      </c>
      <c r="BO265" s="7" t="str">
        <f aca="false">IF($AH265="","",IF($Z265&lt;&gt;"Y","undefined",IF($AH265&lt;=10,"Y","N")))</f>
        <v/>
      </c>
      <c r="BP265" s="7" t="str">
        <f aca="false">IF($AH265="","",IF($Z265&lt;&gt;"Y","undefined",IF($AH265&lt;=100,"Y","N")))</f>
        <v/>
      </c>
    </row>
    <row r="266" customFormat="false" ht="15" hidden="false" customHeight="false" outlineLevel="0" collapsed="false">
      <c r="A266" s="7" t="str">
        <f aca="false">IF($B266="","",$B266&amp;"|"&amp;$C266&amp;"|"&amp;$F266)</f>
        <v/>
      </c>
      <c r="B266" s="5"/>
      <c r="C266" s="5"/>
      <c r="D266" s="5"/>
      <c r="E266" s="5"/>
      <c r="F266" s="5"/>
      <c r="G266" s="5"/>
      <c r="H266" s="5"/>
      <c r="I266" s="5"/>
      <c r="J266" s="20"/>
      <c r="K266" s="20"/>
      <c r="L266" s="28"/>
      <c r="M266" s="20"/>
      <c r="N266" s="28"/>
      <c r="O266" s="19"/>
      <c r="P266" s="19"/>
      <c r="Q266" s="5"/>
      <c r="R266" s="19"/>
      <c r="S266" s="5"/>
      <c r="T266" s="20"/>
      <c r="U266" s="20"/>
      <c r="V266" s="29"/>
      <c r="W266" s="28"/>
      <c r="X266" s="19"/>
      <c r="Y266" s="19"/>
      <c r="Z266" s="5"/>
      <c r="AA266" s="19"/>
      <c r="AB266" s="5"/>
      <c r="AC266" s="5"/>
      <c r="AD266" s="5"/>
      <c r="AE266" s="5"/>
      <c r="AF266" s="30"/>
      <c r="AG266" s="30"/>
      <c r="AH266" s="30"/>
      <c r="AI266" s="30"/>
      <c r="AJ266" s="30"/>
      <c r="AK266" s="30"/>
      <c r="AL266" s="28"/>
      <c r="AM266" s="5"/>
      <c r="AN266" s="19"/>
      <c r="AO266" s="19"/>
      <c r="AP266" s="5"/>
      <c r="AQ266" s="5"/>
      <c r="AR266" s="5"/>
      <c r="AS266" s="5"/>
      <c r="AT266" s="5"/>
      <c r="AU266" s="19"/>
      <c r="AV266" s="19"/>
      <c r="AW266" s="5"/>
      <c r="AX266" s="5"/>
      <c r="AY266" s="19"/>
      <c r="AZ266" s="30"/>
      <c r="BA266" s="5"/>
      <c r="BB266" s="31" t="str">
        <f aca="false">IF(OR($T266="",$M266=""),"",$T266-$M266)</f>
        <v/>
      </c>
      <c r="BC266" s="32" t="str">
        <f aca="false">IF(OR($T266="",$M266="",$M266=0),"",($T266-$M266)/$M266)</f>
        <v/>
      </c>
      <c r="BD266" s="31" t="str">
        <f aca="false">IF(OR($U266="",$M266=""),"",$U266-$M266)</f>
        <v/>
      </c>
      <c r="BE266" s="32" t="str">
        <f aca="false">IF(OR($U266="",$M266="",$M266=0),"",($U266-$M266)/$M266)</f>
        <v/>
      </c>
      <c r="BF266" s="32" t="str">
        <f aca="false">IF(OR($U266="",$J266="",$J266=0),"",($U266-$J266)/$J266)</f>
        <v/>
      </c>
      <c r="BG266" s="32" t="str">
        <f aca="false">IF(OR($M266="",$K266="",$K266=0),"",($M266-$K266)/$K266)</f>
        <v/>
      </c>
      <c r="BH266" s="32" t="str">
        <f aca="false">IF(OR($W266="",$N266="",$N266=0),"",($W266-$N266)/$N266)</f>
        <v/>
      </c>
      <c r="BI266" s="33" t="str">
        <f aca="false">IF(OR($O266="",$X266=""),"",$O266-$X266)</f>
        <v/>
      </c>
      <c r="BJ266" s="33" t="str">
        <f aca="false">IF(OR($P266="",$Y266=""),"",$P266-$Y266)</f>
        <v/>
      </c>
      <c r="BK266" s="34" t="str">
        <f aca="false">IF(OR($AN266="",$AO266="",$AN266=0),"",$AO266/$AN266)</f>
        <v/>
      </c>
      <c r="BL266" s="34" t="str">
        <f aca="false">IF(OR($AU266="",$AV266="",$AU266=0),"",$AV266/$AU266)</f>
        <v/>
      </c>
      <c r="BM266" s="7" t="str">
        <f aca="false">IF($Z266="","",IF(AND($Z266="Y",$AB266&lt;&gt;"N",$AC266&lt;&gt;"Y"),"Y","N"))</f>
        <v/>
      </c>
      <c r="BN266" s="7" t="str">
        <f aca="false">IF($AH266="","",IF($Z266&lt;&gt;"Y","undefined",IF($AH266&lt;=1,"Y","N")))</f>
        <v/>
      </c>
      <c r="BO266" s="7" t="str">
        <f aca="false">IF($AH266="","",IF($Z266&lt;&gt;"Y","undefined",IF($AH266&lt;=10,"Y","N")))</f>
        <v/>
      </c>
      <c r="BP266" s="7" t="str">
        <f aca="false">IF($AH266="","",IF($Z266&lt;&gt;"Y","undefined",IF($AH266&lt;=100,"Y","N")))</f>
        <v/>
      </c>
    </row>
    <row r="267" customFormat="false" ht="15" hidden="false" customHeight="false" outlineLevel="0" collapsed="false">
      <c r="A267" s="7" t="str">
        <f aca="false">IF($B267="","",$B267&amp;"|"&amp;$C267&amp;"|"&amp;$F267)</f>
        <v/>
      </c>
      <c r="B267" s="5"/>
      <c r="C267" s="5"/>
      <c r="D267" s="5"/>
      <c r="E267" s="5"/>
      <c r="F267" s="5"/>
      <c r="G267" s="5"/>
      <c r="H267" s="5"/>
      <c r="I267" s="5"/>
      <c r="J267" s="20"/>
      <c r="K267" s="20"/>
      <c r="L267" s="28"/>
      <c r="M267" s="20"/>
      <c r="N267" s="28"/>
      <c r="O267" s="19"/>
      <c r="P267" s="19"/>
      <c r="Q267" s="5"/>
      <c r="R267" s="19"/>
      <c r="S267" s="5"/>
      <c r="T267" s="20"/>
      <c r="U267" s="20"/>
      <c r="V267" s="29"/>
      <c r="W267" s="28"/>
      <c r="X267" s="19"/>
      <c r="Y267" s="19"/>
      <c r="Z267" s="5"/>
      <c r="AA267" s="19"/>
      <c r="AB267" s="5"/>
      <c r="AC267" s="5"/>
      <c r="AD267" s="5"/>
      <c r="AE267" s="5"/>
      <c r="AF267" s="30"/>
      <c r="AG267" s="30"/>
      <c r="AH267" s="30"/>
      <c r="AI267" s="30"/>
      <c r="AJ267" s="30"/>
      <c r="AK267" s="30"/>
      <c r="AL267" s="28"/>
      <c r="AM267" s="5"/>
      <c r="AN267" s="19"/>
      <c r="AO267" s="19"/>
      <c r="AP267" s="5"/>
      <c r="AQ267" s="5"/>
      <c r="AR267" s="5"/>
      <c r="AS267" s="5"/>
      <c r="AT267" s="5"/>
      <c r="AU267" s="19"/>
      <c r="AV267" s="19"/>
      <c r="AW267" s="5"/>
      <c r="AX267" s="5"/>
      <c r="AY267" s="19"/>
      <c r="AZ267" s="30"/>
      <c r="BA267" s="5"/>
      <c r="BB267" s="31" t="str">
        <f aca="false">IF(OR($T267="",$M267=""),"",$T267-$M267)</f>
        <v/>
      </c>
      <c r="BC267" s="32" t="str">
        <f aca="false">IF(OR($T267="",$M267="",$M267=0),"",($T267-$M267)/$M267)</f>
        <v/>
      </c>
      <c r="BD267" s="31" t="str">
        <f aca="false">IF(OR($U267="",$M267=""),"",$U267-$M267)</f>
        <v/>
      </c>
      <c r="BE267" s="32" t="str">
        <f aca="false">IF(OR($U267="",$M267="",$M267=0),"",($U267-$M267)/$M267)</f>
        <v/>
      </c>
      <c r="BF267" s="32" t="str">
        <f aca="false">IF(OR($U267="",$J267="",$J267=0),"",($U267-$J267)/$J267)</f>
        <v/>
      </c>
      <c r="BG267" s="32" t="str">
        <f aca="false">IF(OR($M267="",$K267="",$K267=0),"",($M267-$K267)/$K267)</f>
        <v/>
      </c>
      <c r="BH267" s="32" t="str">
        <f aca="false">IF(OR($W267="",$N267="",$N267=0),"",($W267-$N267)/$N267)</f>
        <v/>
      </c>
      <c r="BI267" s="33" t="str">
        <f aca="false">IF(OR($O267="",$X267=""),"",$O267-$X267)</f>
        <v/>
      </c>
      <c r="BJ267" s="33" t="str">
        <f aca="false">IF(OR($P267="",$Y267=""),"",$P267-$Y267)</f>
        <v/>
      </c>
      <c r="BK267" s="34" t="str">
        <f aca="false">IF(OR($AN267="",$AO267="",$AN267=0),"",$AO267/$AN267)</f>
        <v/>
      </c>
      <c r="BL267" s="34" t="str">
        <f aca="false">IF(OR($AU267="",$AV267="",$AU267=0),"",$AV267/$AU267)</f>
        <v/>
      </c>
      <c r="BM267" s="7" t="str">
        <f aca="false">IF($Z267="","",IF(AND($Z267="Y",$AB267&lt;&gt;"N",$AC267&lt;&gt;"Y"),"Y","N"))</f>
        <v/>
      </c>
      <c r="BN267" s="7" t="str">
        <f aca="false">IF($AH267="","",IF($Z267&lt;&gt;"Y","undefined",IF($AH267&lt;=1,"Y","N")))</f>
        <v/>
      </c>
      <c r="BO267" s="7" t="str">
        <f aca="false">IF($AH267="","",IF($Z267&lt;&gt;"Y","undefined",IF($AH267&lt;=10,"Y","N")))</f>
        <v/>
      </c>
      <c r="BP267" s="7" t="str">
        <f aca="false">IF($AH267="","",IF($Z267&lt;&gt;"Y","undefined",IF($AH267&lt;=100,"Y","N")))</f>
        <v/>
      </c>
    </row>
    <row r="268" customFormat="false" ht="15" hidden="false" customHeight="false" outlineLevel="0" collapsed="false">
      <c r="A268" s="7" t="str">
        <f aca="false">IF($B268="","",$B268&amp;"|"&amp;$C268&amp;"|"&amp;$F268)</f>
        <v/>
      </c>
      <c r="B268" s="5"/>
      <c r="C268" s="5"/>
      <c r="D268" s="5"/>
      <c r="E268" s="5"/>
      <c r="F268" s="5"/>
      <c r="G268" s="5"/>
      <c r="H268" s="5"/>
      <c r="I268" s="5"/>
      <c r="J268" s="20"/>
      <c r="K268" s="20"/>
      <c r="L268" s="28"/>
      <c r="M268" s="20"/>
      <c r="N268" s="28"/>
      <c r="O268" s="19"/>
      <c r="P268" s="19"/>
      <c r="Q268" s="5"/>
      <c r="R268" s="19"/>
      <c r="S268" s="5"/>
      <c r="T268" s="20"/>
      <c r="U268" s="20"/>
      <c r="V268" s="29"/>
      <c r="W268" s="28"/>
      <c r="X268" s="19"/>
      <c r="Y268" s="19"/>
      <c r="Z268" s="5"/>
      <c r="AA268" s="19"/>
      <c r="AB268" s="5"/>
      <c r="AC268" s="5"/>
      <c r="AD268" s="5"/>
      <c r="AE268" s="5"/>
      <c r="AF268" s="30"/>
      <c r="AG268" s="30"/>
      <c r="AH268" s="30"/>
      <c r="AI268" s="30"/>
      <c r="AJ268" s="30"/>
      <c r="AK268" s="30"/>
      <c r="AL268" s="28"/>
      <c r="AM268" s="5"/>
      <c r="AN268" s="19"/>
      <c r="AO268" s="19"/>
      <c r="AP268" s="5"/>
      <c r="AQ268" s="5"/>
      <c r="AR268" s="5"/>
      <c r="AS268" s="5"/>
      <c r="AT268" s="5"/>
      <c r="AU268" s="19"/>
      <c r="AV268" s="19"/>
      <c r="AW268" s="5"/>
      <c r="AX268" s="5"/>
      <c r="AY268" s="19"/>
      <c r="AZ268" s="30"/>
      <c r="BA268" s="5"/>
      <c r="BB268" s="31" t="str">
        <f aca="false">IF(OR($T268="",$M268=""),"",$T268-$M268)</f>
        <v/>
      </c>
      <c r="BC268" s="32" t="str">
        <f aca="false">IF(OR($T268="",$M268="",$M268=0),"",($T268-$M268)/$M268)</f>
        <v/>
      </c>
      <c r="BD268" s="31" t="str">
        <f aca="false">IF(OR($U268="",$M268=""),"",$U268-$M268)</f>
        <v/>
      </c>
      <c r="BE268" s="32" t="str">
        <f aca="false">IF(OR($U268="",$M268="",$M268=0),"",($U268-$M268)/$M268)</f>
        <v/>
      </c>
      <c r="BF268" s="32" t="str">
        <f aca="false">IF(OR($U268="",$J268="",$J268=0),"",($U268-$J268)/$J268)</f>
        <v/>
      </c>
      <c r="BG268" s="32" t="str">
        <f aca="false">IF(OR($M268="",$K268="",$K268=0),"",($M268-$K268)/$K268)</f>
        <v/>
      </c>
      <c r="BH268" s="32" t="str">
        <f aca="false">IF(OR($W268="",$N268="",$N268=0),"",($W268-$N268)/$N268)</f>
        <v/>
      </c>
      <c r="BI268" s="33" t="str">
        <f aca="false">IF(OR($O268="",$X268=""),"",$O268-$X268)</f>
        <v/>
      </c>
      <c r="BJ268" s="33" t="str">
        <f aca="false">IF(OR($P268="",$Y268=""),"",$P268-$Y268)</f>
        <v/>
      </c>
      <c r="BK268" s="34" t="str">
        <f aca="false">IF(OR($AN268="",$AO268="",$AN268=0),"",$AO268/$AN268)</f>
        <v/>
      </c>
      <c r="BL268" s="34" t="str">
        <f aca="false">IF(OR($AU268="",$AV268="",$AU268=0),"",$AV268/$AU268)</f>
        <v/>
      </c>
      <c r="BM268" s="7" t="str">
        <f aca="false">IF($Z268="","",IF(AND($Z268="Y",$AB268&lt;&gt;"N",$AC268&lt;&gt;"Y"),"Y","N"))</f>
        <v/>
      </c>
      <c r="BN268" s="7" t="str">
        <f aca="false">IF($AH268="","",IF($Z268&lt;&gt;"Y","undefined",IF($AH268&lt;=1,"Y","N")))</f>
        <v/>
      </c>
      <c r="BO268" s="7" t="str">
        <f aca="false">IF($AH268="","",IF($Z268&lt;&gt;"Y","undefined",IF($AH268&lt;=10,"Y","N")))</f>
        <v/>
      </c>
      <c r="BP268" s="7" t="str">
        <f aca="false">IF($AH268="","",IF($Z268&lt;&gt;"Y","undefined",IF($AH268&lt;=100,"Y","N")))</f>
        <v/>
      </c>
    </row>
    <row r="269" customFormat="false" ht="15" hidden="false" customHeight="false" outlineLevel="0" collapsed="false">
      <c r="A269" s="7" t="str">
        <f aca="false">IF($B269="","",$B269&amp;"|"&amp;$C269&amp;"|"&amp;$F269)</f>
        <v/>
      </c>
      <c r="B269" s="5"/>
      <c r="C269" s="5"/>
      <c r="D269" s="5"/>
      <c r="E269" s="5"/>
      <c r="F269" s="5"/>
      <c r="G269" s="5"/>
      <c r="H269" s="5"/>
      <c r="I269" s="5"/>
      <c r="J269" s="20"/>
      <c r="K269" s="20"/>
      <c r="L269" s="28"/>
      <c r="M269" s="20"/>
      <c r="N269" s="28"/>
      <c r="O269" s="19"/>
      <c r="P269" s="19"/>
      <c r="Q269" s="5"/>
      <c r="R269" s="19"/>
      <c r="S269" s="5"/>
      <c r="T269" s="20"/>
      <c r="U269" s="20"/>
      <c r="V269" s="29"/>
      <c r="W269" s="28"/>
      <c r="X269" s="19"/>
      <c r="Y269" s="19"/>
      <c r="Z269" s="5"/>
      <c r="AA269" s="19"/>
      <c r="AB269" s="5"/>
      <c r="AC269" s="5"/>
      <c r="AD269" s="5"/>
      <c r="AE269" s="5"/>
      <c r="AF269" s="30"/>
      <c r="AG269" s="30"/>
      <c r="AH269" s="30"/>
      <c r="AI269" s="30"/>
      <c r="AJ269" s="30"/>
      <c r="AK269" s="30"/>
      <c r="AL269" s="28"/>
      <c r="AM269" s="5"/>
      <c r="AN269" s="19"/>
      <c r="AO269" s="19"/>
      <c r="AP269" s="5"/>
      <c r="AQ269" s="5"/>
      <c r="AR269" s="5"/>
      <c r="AS269" s="5"/>
      <c r="AT269" s="5"/>
      <c r="AU269" s="19"/>
      <c r="AV269" s="19"/>
      <c r="AW269" s="5"/>
      <c r="AX269" s="5"/>
      <c r="AY269" s="19"/>
      <c r="AZ269" s="30"/>
      <c r="BA269" s="5"/>
      <c r="BB269" s="31" t="str">
        <f aca="false">IF(OR($T269="",$M269=""),"",$T269-$M269)</f>
        <v/>
      </c>
      <c r="BC269" s="32" t="str">
        <f aca="false">IF(OR($T269="",$M269="",$M269=0),"",($T269-$M269)/$M269)</f>
        <v/>
      </c>
      <c r="BD269" s="31" t="str">
        <f aca="false">IF(OR($U269="",$M269=""),"",$U269-$M269)</f>
        <v/>
      </c>
      <c r="BE269" s="32" t="str">
        <f aca="false">IF(OR($U269="",$M269="",$M269=0),"",($U269-$M269)/$M269)</f>
        <v/>
      </c>
      <c r="BF269" s="32" t="str">
        <f aca="false">IF(OR($U269="",$J269="",$J269=0),"",($U269-$J269)/$J269)</f>
        <v/>
      </c>
      <c r="BG269" s="32" t="str">
        <f aca="false">IF(OR($M269="",$K269="",$K269=0),"",($M269-$K269)/$K269)</f>
        <v/>
      </c>
      <c r="BH269" s="32" t="str">
        <f aca="false">IF(OR($W269="",$N269="",$N269=0),"",($W269-$N269)/$N269)</f>
        <v/>
      </c>
      <c r="BI269" s="33" t="str">
        <f aca="false">IF(OR($O269="",$X269=""),"",$O269-$X269)</f>
        <v/>
      </c>
      <c r="BJ269" s="33" t="str">
        <f aca="false">IF(OR($P269="",$Y269=""),"",$P269-$Y269)</f>
        <v/>
      </c>
      <c r="BK269" s="34" t="str">
        <f aca="false">IF(OR($AN269="",$AO269="",$AN269=0),"",$AO269/$AN269)</f>
        <v/>
      </c>
      <c r="BL269" s="34" t="str">
        <f aca="false">IF(OR($AU269="",$AV269="",$AU269=0),"",$AV269/$AU269)</f>
        <v/>
      </c>
      <c r="BM269" s="7" t="str">
        <f aca="false">IF($Z269="","",IF(AND($Z269="Y",$AB269&lt;&gt;"N",$AC269&lt;&gt;"Y"),"Y","N"))</f>
        <v/>
      </c>
      <c r="BN269" s="7" t="str">
        <f aca="false">IF($AH269="","",IF($Z269&lt;&gt;"Y","undefined",IF($AH269&lt;=1,"Y","N")))</f>
        <v/>
      </c>
      <c r="BO269" s="7" t="str">
        <f aca="false">IF($AH269="","",IF($Z269&lt;&gt;"Y","undefined",IF($AH269&lt;=10,"Y","N")))</f>
        <v/>
      </c>
      <c r="BP269" s="7" t="str">
        <f aca="false">IF($AH269="","",IF($Z269&lt;&gt;"Y","undefined",IF($AH269&lt;=100,"Y","N")))</f>
        <v/>
      </c>
    </row>
    <row r="270" customFormat="false" ht="15" hidden="false" customHeight="false" outlineLevel="0" collapsed="false">
      <c r="A270" s="7" t="str">
        <f aca="false">IF($B270="","",$B270&amp;"|"&amp;$C270&amp;"|"&amp;$F270)</f>
        <v/>
      </c>
      <c r="B270" s="5"/>
      <c r="C270" s="5"/>
      <c r="D270" s="5"/>
      <c r="E270" s="5"/>
      <c r="F270" s="5"/>
      <c r="G270" s="5"/>
      <c r="H270" s="5"/>
      <c r="I270" s="5"/>
      <c r="J270" s="20"/>
      <c r="K270" s="20"/>
      <c r="L270" s="28"/>
      <c r="M270" s="20"/>
      <c r="N270" s="28"/>
      <c r="O270" s="19"/>
      <c r="P270" s="19"/>
      <c r="Q270" s="5"/>
      <c r="R270" s="19"/>
      <c r="S270" s="5"/>
      <c r="T270" s="20"/>
      <c r="U270" s="20"/>
      <c r="V270" s="29"/>
      <c r="W270" s="28"/>
      <c r="X270" s="19"/>
      <c r="Y270" s="19"/>
      <c r="Z270" s="5"/>
      <c r="AA270" s="19"/>
      <c r="AB270" s="5"/>
      <c r="AC270" s="5"/>
      <c r="AD270" s="5"/>
      <c r="AE270" s="5"/>
      <c r="AF270" s="30"/>
      <c r="AG270" s="30"/>
      <c r="AH270" s="30"/>
      <c r="AI270" s="30"/>
      <c r="AJ270" s="30"/>
      <c r="AK270" s="30"/>
      <c r="AL270" s="28"/>
      <c r="AM270" s="5"/>
      <c r="AN270" s="19"/>
      <c r="AO270" s="19"/>
      <c r="AP270" s="5"/>
      <c r="AQ270" s="5"/>
      <c r="AR270" s="5"/>
      <c r="AS270" s="5"/>
      <c r="AT270" s="5"/>
      <c r="AU270" s="19"/>
      <c r="AV270" s="19"/>
      <c r="AW270" s="5"/>
      <c r="AX270" s="5"/>
      <c r="AY270" s="19"/>
      <c r="AZ270" s="30"/>
      <c r="BA270" s="5"/>
      <c r="BB270" s="31" t="str">
        <f aca="false">IF(OR($T270="",$M270=""),"",$T270-$M270)</f>
        <v/>
      </c>
      <c r="BC270" s="32" t="str">
        <f aca="false">IF(OR($T270="",$M270="",$M270=0),"",($T270-$M270)/$M270)</f>
        <v/>
      </c>
      <c r="BD270" s="31" t="str">
        <f aca="false">IF(OR($U270="",$M270=""),"",$U270-$M270)</f>
        <v/>
      </c>
      <c r="BE270" s="32" t="str">
        <f aca="false">IF(OR($U270="",$M270="",$M270=0),"",($U270-$M270)/$M270)</f>
        <v/>
      </c>
      <c r="BF270" s="32" t="str">
        <f aca="false">IF(OR($U270="",$J270="",$J270=0),"",($U270-$J270)/$J270)</f>
        <v/>
      </c>
      <c r="BG270" s="32" t="str">
        <f aca="false">IF(OR($M270="",$K270="",$K270=0),"",($M270-$K270)/$K270)</f>
        <v/>
      </c>
      <c r="BH270" s="32" t="str">
        <f aca="false">IF(OR($W270="",$N270="",$N270=0),"",($W270-$N270)/$N270)</f>
        <v/>
      </c>
      <c r="BI270" s="33" t="str">
        <f aca="false">IF(OR($O270="",$X270=""),"",$O270-$X270)</f>
        <v/>
      </c>
      <c r="BJ270" s="33" t="str">
        <f aca="false">IF(OR($P270="",$Y270=""),"",$P270-$Y270)</f>
        <v/>
      </c>
      <c r="BK270" s="34" t="str">
        <f aca="false">IF(OR($AN270="",$AO270="",$AN270=0),"",$AO270/$AN270)</f>
        <v/>
      </c>
      <c r="BL270" s="34" t="str">
        <f aca="false">IF(OR($AU270="",$AV270="",$AU270=0),"",$AV270/$AU270)</f>
        <v/>
      </c>
      <c r="BM270" s="7" t="str">
        <f aca="false">IF($Z270="","",IF(AND($Z270="Y",$AB270&lt;&gt;"N",$AC270&lt;&gt;"Y"),"Y","N"))</f>
        <v/>
      </c>
      <c r="BN270" s="7" t="str">
        <f aca="false">IF($AH270="","",IF($Z270&lt;&gt;"Y","undefined",IF($AH270&lt;=1,"Y","N")))</f>
        <v/>
      </c>
      <c r="BO270" s="7" t="str">
        <f aca="false">IF($AH270="","",IF($Z270&lt;&gt;"Y","undefined",IF($AH270&lt;=10,"Y","N")))</f>
        <v/>
      </c>
      <c r="BP270" s="7" t="str">
        <f aca="false">IF($AH270="","",IF($Z270&lt;&gt;"Y","undefined",IF($AH270&lt;=100,"Y","N")))</f>
        <v/>
      </c>
    </row>
    <row r="271" customFormat="false" ht="15" hidden="false" customHeight="false" outlineLevel="0" collapsed="false">
      <c r="A271" s="7" t="str">
        <f aca="false">IF($B271="","",$B271&amp;"|"&amp;$C271&amp;"|"&amp;$F271)</f>
        <v/>
      </c>
      <c r="B271" s="5"/>
      <c r="C271" s="5"/>
      <c r="D271" s="5"/>
      <c r="E271" s="5"/>
      <c r="F271" s="5"/>
      <c r="G271" s="5"/>
      <c r="H271" s="5"/>
      <c r="I271" s="5"/>
      <c r="J271" s="20"/>
      <c r="K271" s="20"/>
      <c r="L271" s="28"/>
      <c r="M271" s="20"/>
      <c r="N271" s="28"/>
      <c r="O271" s="19"/>
      <c r="P271" s="19"/>
      <c r="Q271" s="5"/>
      <c r="R271" s="19"/>
      <c r="S271" s="5"/>
      <c r="T271" s="20"/>
      <c r="U271" s="20"/>
      <c r="V271" s="29"/>
      <c r="W271" s="28"/>
      <c r="X271" s="19"/>
      <c r="Y271" s="19"/>
      <c r="Z271" s="5"/>
      <c r="AA271" s="19"/>
      <c r="AB271" s="5"/>
      <c r="AC271" s="5"/>
      <c r="AD271" s="5"/>
      <c r="AE271" s="5"/>
      <c r="AF271" s="30"/>
      <c r="AG271" s="30"/>
      <c r="AH271" s="30"/>
      <c r="AI271" s="30"/>
      <c r="AJ271" s="30"/>
      <c r="AK271" s="30"/>
      <c r="AL271" s="28"/>
      <c r="AM271" s="5"/>
      <c r="AN271" s="19"/>
      <c r="AO271" s="19"/>
      <c r="AP271" s="5"/>
      <c r="AQ271" s="5"/>
      <c r="AR271" s="5"/>
      <c r="AS271" s="5"/>
      <c r="AT271" s="5"/>
      <c r="AU271" s="19"/>
      <c r="AV271" s="19"/>
      <c r="AW271" s="5"/>
      <c r="AX271" s="5"/>
      <c r="AY271" s="19"/>
      <c r="AZ271" s="30"/>
      <c r="BA271" s="5"/>
      <c r="BB271" s="31" t="str">
        <f aca="false">IF(OR($T271="",$M271=""),"",$T271-$M271)</f>
        <v/>
      </c>
      <c r="BC271" s="32" t="str">
        <f aca="false">IF(OR($T271="",$M271="",$M271=0),"",($T271-$M271)/$M271)</f>
        <v/>
      </c>
      <c r="BD271" s="31" t="str">
        <f aca="false">IF(OR($U271="",$M271=""),"",$U271-$M271)</f>
        <v/>
      </c>
      <c r="BE271" s="32" t="str">
        <f aca="false">IF(OR($U271="",$M271="",$M271=0),"",($U271-$M271)/$M271)</f>
        <v/>
      </c>
      <c r="BF271" s="32" t="str">
        <f aca="false">IF(OR($U271="",$J271="",$J271=0),"",($U271-$J271)/$J271)</f>
        <v/>
      </c>
      <c r="BG271" s="32" t="str">
        <f aca="false">IF(OR($M271="",$K271="",$K271=0),"",($M271-$K271)/$K271)</f>
        <v/>
      </c>
      <c r="BH271" s="32" t="str">
        <f aca="false">IF(OR($W271="",$N271="",$N271=0),"",($W271-$N271)/$N271)</f>
        <v/>
      </c>
      <c r="BI271" s="33" t="str">
        <f aca="false">IF(OR($O271="",$X271=""),"",$O271-$X271)</f>
        <v/>
      </c>
      <c r="BJ271" s="33" t="str">
        <f aca="false">IF(OR($P271="",$Y271=""),"",$P271-$Y271)</f>
        <v/>
      </c>
      <c r="BK271" s="34" t="str">
        <f aca="false">IF(OR($AN271="",$AO271="",$AN271=0),"",$AO271/$AN271)</f>
        <v/>
      </c>
      <c r="BL271" s="34" t="str">
        <f aca="false">IF(OR($AU271="",$AV271="",$AU271=0),"",$AV271/$AU271)</f>
        <v/>
      </c>
      <c r="BM271" s="7" t="str">
        <f aca="false">IF($Z271="","",IF(AND($Z271="Y",$AB271&lt;&gt;"N",$AC271&lt;&gt;"Y"),"Y","N"))</f>
        <v/>
      </c>
      <c r="BN271" s="7" t="str">
        <f aca="false">IF($AH271="","",IF($Z271&lt;&gt;"Y","undefined",IF($AH271&lt;=1,"Y","N")))</f>
        <v/>
      </c>
      <c r="BO271" s="7" t="str">
        <f aca="false">IF($AH271="","",IF($Z271&lt;&gt;"Y","undefined",IF($AH271&lt;=10,"Y","N")))</f>
        <v/>
      </c>
      <c r="BP271" s="7" t="str">
        <f aca="false">IF($AH271="","",IF($Z271&lt;&gt;"Y","undefined",IF($AH271&lt;=100,"Y","N")))</f>
        <v/>
      </c>
    </row>
    <row r="272" customFormat="false" ht="15" hidden="false" customHeight="false" outlineLevel="0" collapsed="false">
      <c r="A272" s="7" t="str">
        <f aca="false">IF($B272="","",$B272&amp;"|"&amp;$C272&amp;"|"&amp;$F272)</f>
        <v/>
      </c>
      <c r="B272" s="5"/>
      <c r="C272" s="5"/>
      <c r="D272" s="5"/>
      <c r="E272" s="5"/>
      <c r="F272" s="5"/>
      <c r="G272" s="5"/>
      <c r="H272" s="5"/>
      <c r="I272" s="5"/>
      <c r="J272" s="20"/>
      <c r="K272" s="20"/>
      <c r="L272" s="28"/>
      <c r="M272" s="20"/>
      <c r="N272" s="28"/>
      <c r="O272" s="19"/>
      <c r="P272" s="19"/>
      <c r="Q272" s="5"/>
      <c r="R272" s="19"/>
      <c r="S272" s="5"/>
      <c r="T272" s="20"/>
      <c r="U272" s="20"/>
      <c r="V272" s="29"/>
      <c r="W272" s="28"/>
      <c r="X272" s="19"/>
      <c r="Y272" s="19"/>
      <c r="Z272" s="5"/>
      <c r="AA272" s="19"/>
      <c r="AB272" s="5"/>
      <c r="AC272" s="5"/>
      <c r="AD272" s="5"/>
      <c r="AE272" s="5"/>
      <c r="AF272" s="30"/>
      <c r="AG272" s="30"/>
      <c r="AH272" s="30"/>
      <c r="AI272" s="30"/>
      <c r="AJ272" s="30"/>
      <c r="AK272" s="30"/>
      <c r="AL272" s="28"/>
      <c r="AM272" s="5"/>
      <c r="AN272" s="19"/>
      <c r="AO272" s="19"/>
      <c r="AP272" s="5"/>
      <c r="AQ272" s="5"/>
      <c r="AR272" s="5"/>
      <c r="AS272" s="5"/>
      <c r="AT272" s="5"/>
      <c r="AU272" s="19"/>
      <c r="AV272" s="19"/>
      <c r="AW272" s="5"/>
      <c r="AX272" s="5"/>
      <c r="AY272" s="19"/>
      <c r="AZ272" s="30"/>
      <c r="BA272" s="5"/>
      <c r="BB272" s="31" t="str">
        <f aca="false">IF(OR($T272="",$M272=""),"",$T272-$M272)</f>
        <v/>
      </c>
      <c r="BC272" s="32" t="str">
        <f aca="false">IF(OR($T272="",$M272="",$M272=0),"",($T272-$M272)/$M272)</f>
        <v/>
      </c>
      <c r="BD272" s="31" t="str">
        <f aca="false">IF(OR($U272="",$M272=""),"",$U272-$M272)</f>
        <v/>
      </c>
      <c r="BE272" s="32" t="str">
        <f aca="false">IF(OR($U272="",$M272="",$M272=0),"",($U272-$M272)/$M272)</f>
        <v/>
      </c>
      <c r="BF272" s="32" t="str">
        <f aca="false">IF(OR($U272="",$J272="",$J272=0),"",($U272-$J272)/$J272)</f>
        <v/>
      </c>
      <c r="BG272" s="32" t="str">
        <f aca="false">IF(OR($M272="",$K272="",$K272=0),"",($M272-$K272)/$K272)</f>
        <v/>
      </c>
      <c r="BH272" s="32" t="str">
        <f aca="false">IF(OR($W272="",$N272="",$N272=0),"",($W272-$N272)/$N272)</f>
        <v/>
      </c>
      <c r="BI272" s="33" t="str">
        <f aca="false">IF(OR($O272="",$X272=""),"",$O272-$X272)</f>
        <v/>
      </c>
      <c r="BJ272" s="33" t="str">
        <f aca="false">IF(OR($P272="",$Y272=""),"",$P272-$Y272)</f>
        <v/>
      </c>
      <c r="BK272" s="34" t="str">
        <f aca="false">IF(OR($AN272="",$AO272="",$AN272=0),"",$AO272/$AN272)</f>
        <v/>
      </c>
      <c r="BL272" s="34" t="str">
        <f aca="false">IF(OR($AU272="",$AV272="",$AU272=0),"",$AV272/$AU272)</f>
        <v/>
      </c>
      <c r="BM272" s="7" t="str">
        <f aca="false">IF($Z272="","",IF(AND($Z272="Y",$AB272&lt;&gt;"N",$AC272&lt;&gt;"Y"),"Y","N"))</f>
        <v/>
      </c>
      <c r="BN272" s="7" t="str">
        <f aca="false">IF($AH272="","",IF($Z272&lt;&gt;"Y","undefined",IF($AH272&lt;=1,"Y","N")))</f>
        <v/>
      </c>
      <c r="BO272" s="7" t="str">
        <f aca="false">IF($AH272="","",IF($Z272&lt;&gt;"Y","undefined",IF($AH272&lt;=10,"Y","N")))</f>
        <v/>
      </c>
      <c r="BP272" s="7" t="str">
        <f aca="false">IF($AH272="","",IF($Z272&lt;&gt;"Y","undefined",IF($AH272&lt;=100,"Y","N")))</f>
        <v/>
      </c>
    </row>
    <row r="273" customFormat="false" ht="15" hidden="false" customHeight="false" outlineLevel="0" collapsed="false">
      <c r="A273" s="7" t="str">
        <f aca="false">IF($B273="","",$B273&amp;"|"&amp;$C273&amp;"|"&amp;$F273)</f>
        <v/>
      </c>
      <c r="B273" s="5"/>
      <c r="C273" s="5"/>
      <c r="D273" s="5"/>
      <c r="E273" s="5"/>
      <c r="F273" s="5"/>
      <c r="G273" s="5"/>
      <c r="H273" s="5"/>
      <c r="I273" s="5"/>
      <c r="J273" s="20"/>
      <c r="K273" s="20"/>
      <c r="L273" s="28"/>
      <c r="M273" s="20"/>
      <c r="N273" s="28"/>
      <c r="O273" s="19"/>
      <c r="P273" s="19"/>
      <c r="Q273" s="5"/>
      <c r="R273" s="19"/>
      <c r="S273" s="5"/>
      <c r="T273" s="20"/>
      <c r="U273" s="20"/>
      <c r="V273" s="29"/>
      <c r="W273" s="28"/>
      <c r="X273" s="19"/>
      <c r="Y273" s="19"/>
      <c r="Z273" s="5"/>
      <c r="AA273" s="19"/>
      <c r="AB273" s="5"/>
      <c r="AC273" s="5"/>
      <c r="AD273" s="5"/>
      <c r="AE273" s="5"/>
      <c r="AF273" s="30"/>
      <c r="AG273" s="30"/>
      <c r="AH273" s="30"/>
      <c r="AI273" s="30"/>
      <c r="AJ273" s="30"/>
      <c r="AK273" s="30"/>
      <c r="AL273" s="28"/>
      <c r="AM273" s="5"/>
      <c r="AN273" s="19"/>
      <c r="AO273" s="19"/>
      <c r="AP273" s="5"/>
      <c r="AQ273" s="5"/>
      <c r="AR273" s="5"/>
      <c r="AS273" s="5"/>
      <c r="AT273" s="5"/>
      <c r="AU273" s="19"/>
      <c r="AV273" s="19"/>
      <c r="AW273" s="5"/>
      <c r="AX273" s="5"/>
      <c r="AY273" s="19"/>
      <c r="AZ273" s="30"/>
      <c r="BA273" s="5"/>
      <c r="BB273" s="31" t="str">
        <f aca="false">IF(OR($T273="",$M273=""),"",$T273-$M273)</f>
        <v/>
      </c>
      <c r="BC273" s="32" t="str">
        <f aca="false">IF(OR($T273="",$M273="",$M273=0),"",($T273-$M273)/$M273)</f>
        <v/>
      </c>
      <c r="BD273" s="31" t="str">
        <f aca="false">IF(OR($U273="",$M273=""),"",$U273-$M273)</f>
        <v/>
      </c>
      <c r="BE273" s="32" t="str">
        <f aca="false">IF(OR($U273="",$M273="",$M273=0),"",($U273-$M273)/$M273)</f>
        <v/>
      </c>
      <c r="BF273" s="32" t="str">
        <f aca="false">IF(OR($U273="",$J273="",$J273=0),"",($U273-$J273)/$J273)</f>
        <v/>
      </c>
      <c r="BG273" s="32" t="str">
        <f aca="false">IF(OR($M273="",$K273="",$K273=0),"",($M273-$K273)/$K273)</f>
        <v/>
      </c>
      <c r="BH273" s="32" t="str">
        <f aca="false">IF(OR($W273="",$N273="",$N273=0),"",($W273-$N273)/$N273)</f>
        <v/>
      </c>
      <c r="BI273" s="33" t="str">
        <f aca="false">IF(OR($O273="",$X273=""),"",$O273-$X273)</f>
        <v/>
      </c>
      <c r="BJ273" s="33" t="str">
        <f aca="false">IF(OR($P273="",$Y273=""),"",$P273-$Y273)</f>
        <v/>
      </c>
      <c r="BK273" s="34" t="str">
        <f aca="false">IF(OR($AN273="",$AO273="",$AN273=0),"",$AO273/$AN273)</f>
        <v/>
      </c>
      <c r="BL273" s="34" t="str">
        <f aca="false">IF(OR($AU273="",$AV273="",$AU273=0),"",$AV273/$AU273)</f>
        <v/>
      </c>
      <c r="BM273" s="7" t="str">
        <f aca="false">IF($Z273="","",IF(AND($Z273="Y",$AB273&lt;&gt;"N",$AC273&lt;&gt;"Y"),"Y","N"))</f>
        <v/>
      </c>
      <c r="BN273" s="7" t="str">
        <f aca="false">IF($AH273="","",IF($Z273&lt;&gt;"Y","undefined",IF($AH273&lt;=1,"Y","N")))</f>
        <v/>
      </c>
      <c r="BO273" s="7" t="str">
        <f aca="false">IF($AH273="","",IF($Z273&lt;&gt;"Y","undefined",IF($AH273&lt;=10,"Y","N")))</f>
        <v/>
      </c>
      <c r="BP273" s="7" t="str">
        <f aca="false">IF($AH273="","",IF($Z273&lt;&gt;"Y","undefined",IF($AH273&lt;=100,"Y","N")))</f>
        <v/>
      </c>
    </row>
    <row r="274" customFormat="false" ht="15" hidden="false" customHeight="false" outlineLevel="0" collapsed="false">
      <c r="A274" s="7" t="str">
        <f aca="false">IF($B274="","",$B274&amp;"|"&amp;$C274&amp;"|"&amp;$F274)</f>
        <v/>
      </c>
      <c r="B274" s="5"/>
      <c r="C274" s="5"/>
      <c r="D274" s="5"/>
      <c r="E274" s="5"/>
      <c r="F274" s="5"/>
      <c r="G274" s="5"/>
      <c r="H274" s="5"/>
      <c r="I274" s="5"/>
      <c r="J274" s="20"/>
      <c r="K274" s="20"/>
      <c r="L274" s="28"/>
      <c r="M274" s="20"/>
      <c r="N274" s="28"/>
      <c r="O274" s="19"/>
      <c r="P274" s="19"/>
      <c r="Q274" s="5"/>
      <c r="R274" s="19"/>
      <c r="S274" s="5"/>
      <c r="T274" s="20"/>
      <c r="U274" s="20"/>
      <c r="V274" s="29"/>
      <c r="W274" s="28"/>
      <c r="X274" s="19"/>
      <c r="Y274" s="19"/>
      <c r="Z274" s="5"/>
      <c r="AA274" s="19"/>
      <c r="AB274" s="5"/>
      <c r="AC274" s="5"/>
      <c r="AD274" s="5"/>
      <c r="AE274" s="5"/>
      <c r="AF274" s="30"/>
      <c r="AG274" s="30"/>
      <c r="AH274" s="30"/>
      <c r="AI274" s="30"/>
      <c r="AJ274" s="30"/>
      <c r="AK274" s="30"/>
      <c r="AL274" s="28"/>
      <c r="AM274" s="5"/>
      <c r="AN274" s="19"/>
      <c r="AO274" s="19"/>
      <c r="AP274" s="5"/>
      <c r="AQ274" s="5"/>
      <c r="AR274" s="5"/>
      <c r="AS274" s="5"/>
      <c r="AT274" s="5"/>
      <c r="AU274" s="19"/>
      <c r="AV274" s="19"/>
      <c r="AW274" s="5"/>
      <c r="AX274" s="5"/>
      <c r="AY274" s="19"/>
      <c r="AZ274" s="30"/>
      <c r="BA274" s="5"/>
      <c r="BB274" s="31" t="str">
        <f aca="false">IF(OR($T274="",$M274=""),"",$T274-$M274)</f>
        <v/>
      </c>
      <c r="BC274" s="32" t="str">
        <f aca="false">IF(OR($T274="",$M274="",$M274=0),"",($T274-$M274)/$M274)</f>
        <v/>
      </c>
      <c r="BD274" s="31" t="str">
        <f aca="false">IF(OR($U274="",$M274=""),"",$U274-$M274)</f>
        <v/>
      </c>
      <c r="BE274" s="32" t="str">
        <f aca="false">IF(OR($U274="",$M274="",$M274=0),"",($U274-$M274)/$M274)</f>
        <v/>
      </c>
      <c r="BF274" s="32" t="str">
        <f aca="false">IF(OR($U274="",$J274="",$J274=0),"",($U274-$J274)/$J274)</f>
        <v/>
      </c>
      <c r="BG274" s="32" t="str">
        <f aca="false">IF(OR($M274="",$K274="",$K274=0),"",($M274-$K274)/$K274)</f>
        <v/>
      </c>
      <c r="BH274" s="32" t="str">
        <f aca="false">IF(OR($W274="",$N274="",$N274=0),"",($W274-$N274)/$N274)</f>
        <v/>
      </c>
      <c r="BI274" s="33" t="str">
        <f aca="false">IF(OR($O274="",$X274=""),"",$O274-$X274)</f>
        <v/>
      </c>
      <c r="BJ274" s="33" t="str">
        <f aca="false">IF(OR($P274="",$Y274=""),"",$P274-$Y274)</f>
        <v/>
      </c>
      <c r="BK274" s="34" t="str">
        <f aca="false">IF(OR($AN274="",$AO274="",$AN274=0),"",$AO274/$AN274)</f>
        <v/>
      </c>
      <c r="BL274" s="34" t="str">
        <f aca="false">IF(OR($AU274="",$AV274="",$AU274=0),"",$AV274/$AU274)</f>
        <v/>
      </c>
      <c r="BM274" s="7" t="str">
        <f aca="false">IF($Z274="","",IF(AND($Z274="Y",$AB274&lt;&gt;"N",$AC274&lt;&gt;"Y"),"Y","N"))</f>
        <v/>
      </c>
      <c r="BN274" s="7" t="str">
        <f aca="false">IF($AH274="","",IF($Z274&lt;&gt;"Y","undefined",IF($AH274&lt;=1,"Y","N")))</f>
        <v/>
      </c>
      <c r="BO274" s="7" t="str">
        <f aca="false">IF($AH274="","",IF($Z274&lt;&gt;"Y","undefined",IF($AH274&lt;=10,"Y","N")))</f>
        <v/>
      </c>
      <c r="BP274" s="7" t="str">
        <f aca="false">IF($AH274="","",IF($Z274&lt;&gt;"Y","undefined",IF($AH274&lt;=100,"Y","N")))</f>
        <v/>
      </c>
    </row>
    <row r="275" customFormat="false" ht="15" hidden="false" customHeight="false" outlineLevel="0" collapsed="false">
      <c r="A275" s="7" t="str">
        <f aca="false">IF($B275="","",$B275&amp;"|"&amp;$C275&amp;"|"&amp;$F275)</f>
        <v/>
      </c>
      <c r="B275" s="5"/>
      <c r="C275" s="5"/>
      <c r="D275" s="5"/>
      <c r="E275" s="5"/>
      <c r="F275" s="5"/>
      <c r="G275" s="5"/>
      <c r="H275" s="5"/>
      <c r="I275" s="5"/>
      <c r="J275" s="20"/>
      <c r="K275" s="20"/>
      <c r="L275" s="28"/>
      <c r="M275" s="20"/>
      <c r="N275" s="28"/>
      <c r="O275" s="19"/>
      <c r="P275" s="19"/>
      <c r="Q275" s="5"/>
      <c r="R275" s="19"/>
      <c r="S275" s="5"/>
      <c r="T275" s="20"/>
      <c r="U275" s="20"/>
      <c r="V275" s="29"/>
      <c r="W275" s="28"/>
      <c r="X275" s="19"/>
      <c r="Y275" s="19"/>
      <c r="Z275" s="5"/>
      <c r="AA275" s="19"/>
      <c r="AB275" s="5"/>
      <c r="AC275" s="5"/>
      <c r="AD275" s="5"/>
      <c r="AE275" s="5"/>
      <c r="AF275" s="30"/>
      <c r="AG275" s="30"/>
      <c r="AH275" s="30"/>
      <c r="AI275" s="30"/>
      <c r="AJ275" s="30"/>
      <c r="AK275" s="30"/>
      <c r="AL275" s="28"/>
      <c r="AM275" s="5"/>
      <c r="AN275" s="19"/>
      <c r="AO275" s="19"/>
      <c r="AP275" s="5"/>
      <c r="AQ275" s="5"/>
      <c r="AR275" s="5"/>
      <c r="AS275" s="5"/>
      <c r="AT275" s="5"/>
      <c r="AU275" s="19"/>
      <c r="AV275" s="19"/>
      <c r="AW275" s="5"/>
      <c r="AX275" s="5"/>
      <c r="AY275" s="19"/>
      <c r="AZ275" s="30"/>
      <c r="BA275" s="5"/>
      <c r="BB275" s="31" t="str">
        <f aca="false">IF(OR($T275="",$M275=""),"",$T275-$M275)</f>
        <v/>
      </c>
      <c r="BC275" s="32" t="str">
        <f aca="false">IF(OR($T275="",$M275="",$M275=0),"",($T275-$M275)/$M275)</f>
        <v/>
      </c>
      <c r="BD275" s="31" t="str">
        <f aca="false">IF(OR($U275="",$M275=""),"",$U275-$M275)</f>
        <v/>
      </c>
      <c r="BE275" s="32" t="str">
        <f aca="false">IF(OR($U275="",$M275="",$M275=0),"",($U275-$M275)/$M275)</f>
        <v/>
      </c>
      <c r="BF275" s="32" t="str">
        <f aca="false">IF(OR($U275="",$J275="",$J275=0),"",($U275-$J275)/$J275)</f>
        <v/>
      </c>
      <c r="BG275" s="32" t="str">
        <f aca="false">IF(OR($M275="",$K275="",$K275=0),"",($M275-$K275)/$K275)</f>
        <v/>
      </c>
      <c r="BH275" s="32" t="str">
        <f aca="false">IF(OR($W275="",$N275="",$N275=0),"",($W275-$N275)/$N275)</f>
        <v/>
      </c>
      <c r="BI275" s="33" t="str">
        <f aca="false">IF(OR($O275="",$X275=""),"",$O275-$X275)</f>
        <v/>
      </c>
      <c r="BJ275" s="33" t="str">
        <f aca="false">IF(OR($P275="",$Y275=""),"",$P275-$Y275)</f>
        <v/>
      </c>
      <c r="BK275" s="34" t="str">
        <f aca="false">IF(OR($AN275="",$AO275="",$AN275=0),"",$AO275/$AN275)</f>
        <v/>
      </c>
      <c r="BL275" s="34" t="str">
        <f aca="false">IF(OR($AU275="",$AV275="",$AU275=0),"",$AV275/$AU275)</f>
        <v/>
      </c>
      <c r="BM275" s="7" t="str">
        <f aca="false">IF($Z275="","",IF(AND($Z275="Y",$AB275&lt;&gt;"N",$AC275&lt;&gt;"Y"),"Y","N"))</f>
        <v/>
      </c>
      <c r="BN275" s="7" t="str">
        <f aca="false">IF($AH275="","",IF($Z275&lt;&gt;"Y","undefined",IF($AH275&lt;=1,"Y","N")))</f>
        <v/>
      </c>
      <c r="BO275" s="7" t="str">
        <f aca="false">IF($AH275="","",IF($Z275&lt;&gt;"Y","undefined",IF($AH275&lt;=10,"Y","N")))</f>
        <v/>
      </c>
      <c r="BP275" s="7" t="str">
        <f aca="false">IF($AH275="","",IF($Z275&lt;&gt;"Y","undefined",IF($AH275&lt;=100,"Y","N")))</f>
        <v/>
      </c>
    </row>
    <row r="276" customFormat="false" ht="15" hidden="false" customHeight="false" outlineLevel="0" collapsed="false">
      <c r="A276" s="7" t="str">
        <f aca="false">IF($B276="","",$B276&amp;"|"&amp;$C276&amp;"|"&amp;$F276)</f>
        <v/>
      </c>
      <c r="B276" s="5"/>
      <c r="C276" s="5"/>
      <c r="D276" s="5"/>
      <c r="E276" s="5"/>
      <c r="F276" s="5"/>
      <c r="G276" s="5"/>
      <c r="H276" s="5"/>
      <c r="I276" s="5"/>
      <c r="J276" s="20"/>
      <c r="K276" s="20"/>
      <c r="L276" s="28"/>
      <c r="M276" s="20"/>
      <c r="N276" s="28"/>
      <c r="O276" s="19"/>
      <c r="P276" s="19"/>
      <c r="Q276" s="5"/>
      <c r="R276" s="19"/>
      <c r="S276" s="5"/>
      <c r="T276" s="20"/>
      <c r="U276" s="20"/>
      <c r="V276" s="29"/>
      <c r="W276" s="28"/>
      <c r="X276" s="19"/>
      <c r="Y276" s="19"/>
      <c r="Z276" s="5"/>
      <c r="AA276" s="19"/>
      <c r="AB276" s="5"/>
      <c r="AC276" s="5"/>
      <c r="AD276" s="5"/>
      <c r="AE276" s="5"/>
      <c r="AF276" s="30"/>
      <c r="AG276" s="30"/>
      <c r="AH276" s="30"/>
      <c r="AI276" s="30"/>
      <c r="AJ276" s="30"/>
      <c r="AK276" s="30"/>
      <c r="AL276" s="28"/>
      <c r="AM276" s="5"/>
      <c r="AN276" s="19"/>
      <c r="AO276" s="19"/>
      <c r="AP276" s="5"/>
      <c r="AQ276" s="5"/>
      <c r="AR276" s="5"/>
      <c r="AS276" s="5"/>
      <c r="AT276" s="5"/>
      <c r="AU276" s="19"/>
      <c r="AV276" s="19"/>
      <c r="AW276" s="5"/>
      <c r="AX276" s="5"/>
      <c r="AY276" s="19"/>
      <c r="AZ276" s="30"/>
      <c r="BA276" s="5"/>
      <c r="BB276" s="31" t="str">
        <f aca="false">IF(OR($T276="",$M276=""),"",$T276-$M276)</f>
        <v/>
      </c>
      <c r="BC276" s="32" t="str">
        <f aca="false">IF(OR($T276="",$M276="",$M276=0),"",($T276-$M276)/$M276)</f>
        <v/>
      </c>
      <c r="BD276" s="31" t="str">
        <f aca="false">IF(OR($U276="",$M276=""),"",$U276-$M276)</f>
        <v/>
      </c>
      <c r="BE276" s="32" t="str">
        <f aca="false">IF(OR($U276="",$M276="",$M276=0),"",($U276-$M276)/$M276)</f>
        <v/>
      </c>
      <c r="BF276" s="32" t="str">
        <f aca="false">IF(OR($U276="",$J276="",$J276=0),"",($U276-$J276)/$J276)</f>
        <v/>
      </c>
      <c r="BG276" s="32" t="str">
        <f aca="false">IF(OR($M276="",$K276="",$K276=0),"",($M276-$K276)/$K276)</f>
        <v/>
      </c>
      <c r="BH276" s="32" t="str">
        <f aca="false">IF(OR($W276="",$N276="",$N276=0),"",($W276-$N276)/$N276)</f>
        <v/>
      </c>
      <c r="BI276" s="33" t="str">
        <f aca="false">IF(OR($O276="",$X276=""),"",$O276-$X276)</f>
        <v/>
      </c>
      <c r="BJ276" s="33" t="str">
        <f aca="false">IF(OR($P276="",$Y276=""),"",$P276-$Y276)</f>
        <v/>
      </c>
      <c r="BK276" s="34" t="str">
        <f aca="false">IF(OR($AN276="",$AO276="",$AN276=0),"",$AO276/$AN276)</f>
        <v/>
      </c>
      <c r="BL276" s="34" t="str">
        <f aca="false">IF(OR($AU276="",$AV276="",$AU276=0),"",$AV276/$AU276)</f>
        <v/>
      </c>
      <c r="BM276" s="7" t="str">
        <f aca="false">IF($Z276="","",IF(AND($Z276="Y",$AB276&lt;&gt;"N",$AC276&lt;&gt;"Y"),"Y","N"))</f>
        <v/>
      </c>
      <c r="BN276" s="7" t="str">
        <f aca="false">IF($AH276="","",IF($Z276&lt;&gt;"Y","undefined",IF($AH276&lt;=1,"Y","N")))</f>
        <v/>
      </c>
      <c r="BO276" s="7" t="str">
        <f aca="false">IF($AH276="","",IF($Z276&lt;&gt;"Y","undefined",IF($AH276&lt;=10,"Y","N")))</f>
        <v/>
      </c>
      <c r="BP276" s="7" t="str">
        <f aca="false">IF($AH276="","",IF($Z276&lt;&gt;"Y","undefined",IF($AH276&lt;=100,"Y","N")))</f>
        <v/>
      </c>
    </row>
    <row r="277" customFormat="false" ht="15" hidden="false" customHeight="false" outlineLevel="0" collapsed="false">
      <c r="A277" s="7" t="str">
        <f aca="false">IF($B277="","",$B277&amp;"|"&amp;$C277&amp;"|"&amp;$F277)</f>
        <v/>
      </c>
      <c r="B277" s="5"/>
      <c r="C277" s="5"/>
      <c r="D277" s="5"/>
      <c r="E277" s="5"/>
      <c r="F277" s="5"/>
      <c r="G277" s="5"/>
      <c r="H277" s="5"/>
      <c r="I277" s="5"/>
      <c r="J277" s="20"/>
      <c r="K277" s="20"/>
      <c r="L277" s="28"/>
      <c r="M277" s="20"/>
      <c r="N277" s="28"/>
      <c r="O277" s="19"/>
      <c r="P277" s="19"/>
      <c r="Q277" s="5"/>
      <c r="R277" s="19"/>
      <c r="S277" s="5"/>
      <c r="T277" s="20"/>
      <c r="U277" s="20"/>
      <c r="V277" s="29"/>
      <c r="W277" s="28"/>
      <c r="X277" s="19"/>
      <c r="Y277" s="19"/>
      <c r="Z277" s="5"/>
      <c r="AA277" s="19"/>
      <c r="AB277" s="5"/>
      <c r="AC277" s="5"/>
      <c r="AD277" s="5"/>
      <c r="AE277" s="5"/>
      <c r="AF277" s="30"/>
      <c r="AG277" s="30"/>
      <c r="AH277" s="30"/>
      <c r="AI277" s="30"/>
      <c r="AJ277" s="30"/>
      <c r="AK277" s="30"/>
      <c r="AL277" s="28"/>
      <c r="AM277" s="5"/>
      <c r="AN277" s="19"/>
      <c r="AO277" s="19"/>
      <c r="AP277" s="5"/>
      <c r="AQ277" s="5"/>
      <c r="AR277" s="5"/>
      <c r="AS277" s="5"/>
      <c r="AT277" s="5"/>
      <c r="AU277" s="19"/>
      <c r="AV277" s="19"/>
      <c r="AW277" s="5"/>
      <c r="AX277" s="5"/>
      <c r="AY277" s="19"/>
      <c r="AZ277" s="30"/>
      <c r="BA277" s="5"/>
      <c r="BB277" s="31" t="str">
        <f aca="false">IF(OR($T277="",$M277=""),"",$T277-$M277)</f>
        <v/>
      </c>
      <c r="BC277" s="32" t="str">
        <f aca="false">IF(OR($T277="",$M277="",$M277=0),"",($T277-$M277)/$M277)</f>
        <v/>
      </c>
      <c r="BD277" s="31" t="str">
        <f aca="false">IF(OR($U277="",$M277=""),"",$U277-$M277)</f>
        <v/>
      </c>
      <c r="BE277" s="32" t="str">
        <f aca="false">IF(OR($U277="",$M277="",$M277=0),"",($U277-$M277)/$M277)</f>
        <v/>
      </c>
      <c r="BF277" s="32" t="str">
        <f aca="false">IF(OR($U277="",$J277="",$J277=0),"",($U277-$J277)/$J277)</f>
        <v/>
      </c>
      <c r="BG277" s="32" t="str">
        <f aca="false">IF(OR($M277="",$K277="",$K277=0),"",($M277-$K277)/$K277)</f>
        <v/>
      </c>
      <c r="BH277" s="32" t="str">
        <f aca="false">IF(OR($W277="",$N277="",$N277=0),"",($W277-$N277)/$N277)</f>
        <v/>
      </c>
      <c r="BI277" s="33" t="str">
        <f aca="false">IF(OR($O277="",$X277=""),"",$O277-$X277)</f>
        <v/>
      </c>
      <c r="BJ277" s="33" t="str">
        <f aca="false">IF(OR($P277="",$Y277=""),"",$P277-$Y277)</f>
        <v/>
      </c>
      <c r="BK277" s="34" t="str">
        <f aca="false">IF(OR($AN277="",$AO277="",$AN277=0),"",$AO277/$AN277)</f>
        <v/>
      </c>
      <c r="BL277" s="34" t="str">
        <f aca="false">IF(OR($AU277="",$AV277="",$AU277=0),"",$AV277/$AU277)</f>
        <v/>
      </c>
      <c r="BM277" s="7" t="str">
        <f aca="false">IF($Z277="","",IF(AND($Z277="Y",$AB277&lt;&gt;"N",$AC277&lt;&gt;"Y"),"Y","N"))</f>
        <v/>
      </c>
      <c r="BN277" s="7" t="str">
        <f aca="false">IF($AH277="","",IF($Z277&lt;&gt;"Y","undefined",IF($AH277&lt;=1,"Y","N")))</f>
        <v/>
      </c>
      <c r="BO277" s="7" t="str">
        <f aca="false">IF($AH277="","",IF($Z277&lt;&gt;"Y","undefined",IF($AH277&lt;=10,"Y","N")))</f>
        <v/>
      </c>
      <c r="BP277" s="7" t="str">
        <f aca="false">IF($AH277="","",IF($Z277&lt;&gt;"Y","undefined",IF($AH277&lt;=100,"Y","N")))</f>
        <v/>
      </c>
    </row>
    <row r="278" customFormat="false" ht="15" hidden="false" customHeight="false" outlineLevel="0" collapsed="false">
      <c r="A278" s="7" t="str">
        <f aca="false">IF($B278="","",$B278&amp;"|"&amp;$C278&amp;"|"&amp;$F278)</f>
        <v/>
      </c>
      <c r="B278" s="5"/>
      <c r="C278" s="5"/>
      <c r="D278" s="5"/>
      <c r="E278" s="5"/>
      <c r="F278" s="5"/>
      <c r="G278" s="5"/>
      <c r="H278" s="5"/>
      <c r="I278" s="5"/>
      <c r="J278" s="20"/>
      <c r="K278" s="20"/>
      <c r="L278" s="28"/>
      <c r="M278" s="20"/>
      <c r="N278" s="28"/>
      <c r="O278" s="19"/>
      <c r="P278" s="19"/>
      <c r="Q278" s="5"/>
      <c r="R278" s="19"/>
      <c r="S278" s="5"/>
      <c r="T278" s="20"/>
      <c r="U278" s="20"/>
      <c r="V278" s="29"/>
      <c r="W278" s="28"/>
      <c r="X278" s="19"/>
      <c r="Y278" s="19"/>
      <c r="Z278" s="5"/>
      <c r="AA278" s="19"/>
      <c r="AB278" s="5"/>
      <c r="AC278" s="5"/>
      <c r="AD278" s="5"/>
      <c r="AE278" s="5"/>
      <c r="AF278" s="30"/>
      <c r="AG278" s="30"/>
      <c r="AH278" s="30"/>
      <c r="AI278" s="30"/>
      <c r="AJ278" s="30"/>
      <c r="AK278" s="30"/>
      <c r="AL278" s="28"/>
      <c r="AM278" s="5"/>
      <c r="AN278" s="19"/>
      <c r="AO278" s="19"/>
      <c r="AP278" s="5"/>
      <c r="AQ278" s="5"/>
      <c r="AR278" s="5"/>
      <c r="AS278" s="5"/>
      <c r="AT278" s="5"/>
      <c r="AU278" s="19"/>
      <c r="AV278" s="19"/>
      <c r="AW278" s="5"/>
      <c r="AX278" s="5"/>
      <c r="AY278" s="19"/>
      <c r="AZ278" s="30"/>
      <c r="BA278" s="5"/>
      <c r="BB278" s="31" t="str">
        <f aca="false">IF(OR($T278="",$M278=""),"",$T278-$M278)</f>
        <v/>
      </c>
      <c r="BC278" s="32" t="str">
        <f aca="false">IF(OR($T278="",$M278="",$M278=0),"",($T278-$M278)/$M278)</f>
        <v/>
      </c>
      <c r="BD278" s="31" t="str">
        <f aca="false">IF(OR($U278="",$M278=""),"",$U278-$M278)</f>
        <v/>
      </c>
      <c r="BE278" s="32" t="str">
        <f aca="false">IF(OR($U278="",$M278="",$M278=0),"",($U278-$M278)/$M278)</f>
        <v/>
      </c>
      <c r="BF278" s="32" t="str">
        <f aca="false">IF(OR($U278="",$J278="",$J278=0),"",($U278-$J278)/$J278)</f>
        <v/>
      </c>
      <c r="BG278" s="32" t="str">
        <f aca="false">IF(OR($M278="",$K278="",$K278=0),"",($M278-$K278)/$K278)</f>
        <v/>
      </c>
      <c r="BH278" s="32" t="str">
        <f aca="false">IF(OR($W278="",$N278="",$N278=0),"",($W278-$N278)/$N278)</f>
        <v/>
      </c>
      <c r="BI278" s="33" t="str">
        <f aca="false">IF(OR($O278="",$X278=""),"",$O278-$X278)</f>
        <v/>
      </c>
      <c r="BJ278" s="33" t="str">
        <f aca="false">IF(OR($P278="",$Y278=""),"",$P278-$Y278)</f>
        <v/>
      </c>
      <c r="BK278" s="34" t="str">
        <f aca="false">IF(OR($AN278="",$AO278="",$AN278=0),"",$AO278/$AN278)</f>
        <v/>
      </c>
      <c r="BL278" s="34" t="str">
        <f aca="false">IF(OR($AU278="",$AV278="",$AU278=0),"",$AV278/$AU278)</f>
        <v/>
      </c>
      <c r="BM278" s="7" t="str">
        <f aca="false">IF($Z278="","",IF(AND($Z278="Y",$AB278&lt;&gt;"N",$AC278&lt;&gt;"Y"),"Y","N"))</f>
        <v/>
      </c>
      <c r="BN278" s="7" t="str">
        <f aca="false">IF($AH278="","",IF($Z278&lt;&gt;"Y","undefined",IF($AH278&lt;=1,"Y","N")))</f>
        <v/>
      </c>
      <c r="BO278" s="7" t="str">
        <f aca="false">IF($AH278="","",IF($Z278&lt;&gt;"Y","undefined",IF($AH278&lt;=10,"Y","N")))</f>
        <v/>
      </c>
      <c r="BP278" s="7" t="str">
        <f aca="false">IF($AH278="","",IF($Z278&lt;&gt;"Y","undefined",IF($AH278&lt;=100,"Y","N")))</f>
        <v/>
      </c>
    </row>
    <row r="279" customFormat="false" ht="15" hidden="false" customHeight="false" outlineLevel="0" collapsed="false">
      <c r="A279" s="7" t="str">
        <f aca="false">IF($B279="","",$B279&amp;"|"&amp;$C279&amp;"|"&amp;$F279)</f>
        <v/>
      </c>
      <c r="B279" s="5"/>
      <c r="C279" s="5"/>
      <c r="D279" s="5"/>
      <c r="E279" s="5"/>
      <c r="F279" s="5"/>
      <c r="G279" s="5"/>
      <c r="H279" s="5"/>
      <c r="I279" s="5"/>
      <c r="J279" s="20"/>
      <c r="K279" s="20"/>
      <c r="L279" s="28"/>
      <c r="M279" s="20"/>
      <c r="N279" s="28"/>
      <c r="O279" s="19"/>
      <c r="P279" s="19"/>
      <c r="Q279" s="5"/>
      <c r="R279" s="19"/>
      <c r="S279" s="5"/>
      <c r="T279" s="20"/>
      <c r="U279" s="20"/>
      <c r="V279" s="29"/>
      <c r="W279" s="28"/>
      <c r="X279" s="19"/>
      <c r="Y279" s="19"/>
      <c r="Z279" s="5"/>
      <c r="AA279" s="19"/>
      <c r="AB279" s="5"/>
      <c r="AC279" s="5"/>
      <c r="AD279" s="5"/>
      <c r="AE279" s="5"/>
      <c r="AF279" s="30"/>
      <c r="AG279" s="30"/>
      <c r="AH279" s="30"/>
      <c r="AI279" s="30"/>
      <c r="AJ279" s="30"/>
      <c r="AK279" s="30"/>
      <c r="AL279" s="28"/>
      <c r="AM279" s="5"/>
      <c r="AN279" s="19"/>
      <c r="AO279" s="19"/>
      <c r="AP279" s="5"/>
      <c r="AQ279" s="5"/>
      <c r="AR279" s="5"/>
      <c r="AS279" s="5"/>
      <c r="AT279" s="5"/>
      <c r="AU279" s="19"/>
      <c r="AV279" s="19"/>
      <c r="AW279" s="5"/>
      <c r="AX279" s="5"/>
      <c r="AY279" s="19"/>
      <c r="AZ279" s="30"/>
      <c r="BA279" s="5"/>
      <c r="BB279" s="31" t="str">
        <f aca="false">IF(OR($T279="",$M279=""),"",$T279-$M279)</f>
        <v/>
      </c>
      <c r="BC279" s="32" t="str">
        <f aca="false">IF(OR($T279="",$M279="",$M279=0),"",($T279-$M279)/$M279)</f>
        <v/>
      </c>
      <c r="BD279" s="31" t="str">
        <f aca="false">IF(OR($U279="",$M279=""),"",$U279-$M279)</f>
        <v/>
      </c>
      <c r="BE279" s="32" t="str">
        <f aca="false">IF(OR($U279="",$M279="",$M279=0),"",($U279-$M279)/$M279)</f>
        <v/>
      </c>
      <c r="BF279" s="32" t="str">
        <f aca="false">IF(OR($U279="",$J279="",$J279=0),"",($U279-$J279)/$J279)</f>
        <v/>
      </c>
      <c r="BG279" s="32" t="str">
        <f aca="false">IF(OR($M279="",$K279="",$K279=0),"",($M279-$K279)/$K279)</f>
        <v/>
      </c>
      <c r="BH279" s="32" t="str">
        <f aca="false">IF(OR($W279="",$N279="",$N279=0),"",($W279-$N279)/$N279)</f>
        <v/>
      </c>
      <c r="BI279" s="33" t="str">
        <f aca="false">IF(OR($O279="",$X279=""),"",$O279-$X279)</f>
        <v/>
      </c>
      <c r="BJ279" s="33" t="str">
        <f aca="false">IF(OR($P279="",$Y279=""),"",$P279-$Y279)</f>
        <v/>
      </c>
      <c r="BK279" s="34" t="str">
        <f aca="false">IF(OR($AN279="",$AO279="",$AN279=0),"",$AO279/$AN279)</f>
        <v/>
      </c>
      <c r="BL279" s="34" t="str">
        <f aca="false">IF(OR($AU279="",$AV279="",$AU279=0),"",$AV279/$AU279)</f>
        <v/>
      </c>
      <c r="BM279" s="7" t="str">
        <f aca="false">IF($Z279="","",IF(AND($Z279="Y",$AB279&lt;&gt;"N",$AC279&lt;&gt;"Y"),"Y","N"))</f>
        <v/>
      </c>
      <c r="BN279" s="7" t="str">
        <f aca="false">IF($AH279="","",IF($Z279&lt;&gt;"Y","undefined",IF($AH279&lt;=1,"Y","N")))</f>
        <v/>
      </c>
      <c r="BO279" s="7" t="str">
        <f aca="false">IF($AH279="","",IF($Z279&lt;&gt;"Y","undefined",IF($AH279&lt;=10,"Y","N")))</f>
        <v/>
      </c>
      <c r="BP279" s="7" t="str">
        <f aca="false">IF($AH279="","",IF($Z279&lt;&gt;"Y","undefined",IF($AH279&lt;=100,"Y","N")))</f>
        <v/>
      </c>
    </row>
    <row r="280" customFormat="false" ht="15" hidden="false" customHeight="false" outlineLevel="0" collapsed="false">
      <c r="A280" s="7" t="str">
        <f aca="false">IF($B280="","",$B280&amp;"|"&amp;$C280&amp;"|"&amp;$F280)</f>
        <v/>
      </c>
      <c r="B280" s="5"/>
      <c r="C280" s="5"/>
      <c r="D280" s="5"/>
      <c r="E280" s="5"/>
      <c r="F280" s="5"/>
      <c r="G280" s="5"/>
      <c r="H280" s="5"/>
      <c r="I280" s="5"/>
      <c r="J280" s="20"/>
      <c r="K280" s="20"/>
      <c r="L280" s="28"/>
      <c r="M280" s="20"/>
      <c r="N280" s="28"/>
      <c r="O280" s="19"/>
      <c r="P280" s="19"/>
      <c r="Q280" s="5"/>
      <c r="R280" s="19"/>
      <c r="S280" s="5"/>
      <c r="T280" s="20"/>
      <c r="U280" s="20"/>
      <c r="V280" s="29"/>
      <c r="W280" s="28"/>
      <c r="X280" s="19"/>
      <c r="Y280" s="19"/>
      <c r="Z280" s="5"/>
      <c r="AA280" s="19"/>
      <c r="AB280" s="5"/>
      <c r="AC280" s="5"/>
      <c r="AD280" s="5"/>
      <c r="AE280" s="5"/>
      <c r="AF280" s="30"/>
      <c r="AG280" s="30"/>
      <c r="AH280" s="30"/>
      <c r="AI280" s="30"/>
      <c r="AJ280" s="30"/>
      <c r="AK280" s="30"/>
      <c r="AL280" s="28"/>
      <c r="AM280" s="5"/>
      <c r="AN280" s="19"/>
      <c r="AO280" s="19"/>
      <c r="AP280" s="5"/>
      <c r="AQ280" s="5"/>
      <c r="AR280" s="5"/>
      <c r="AS280" s="5"/>
      <c r="AT280" s="5"/>
      <c r="AU280" s="19"/>
      <c r="AV280" s="19"/>
      <c r="AW280" s="5"/>
      <c r="AX280" s="5"/>
      <c r="AY280" s="19"/>
      <c r="AZ280" s="30"/>
      <c r="BA280" s="5"/>
      <c r="BB280" s="31" t="str">
        <f aca="false">IF(OR($T280="",$M280=""),"",$T280-$M280)</f>
        <v/>
      </c>
      <c r="BC280" s="32" t="str">
        <f aca="false">IF(OR($T280="",$M280="",$M280=0),"",($T280-$M280)/$M280)</f>
        <v/>
      </c>
      <c r="BD280" s="31" t="str">
        <f aca="false">IF(OR($U280="",$M280=""),"",$U280-$M280)</f>
        <v/>
      </c>
      <c r="BE280" s="32" t="str">
        <f aca="false">IF(OR($U280="",$M280="",$M280=0),"",($U280-$M280)/$M280)</f>
        <v/>
      </c>
      <c r="BF280" s="32" t="str">
        <f aca="false">IF(OR($U280="",$J280="",$J280=0),"",($U280-$J280)/$J280)</f>
        <v/>
      </c>
      <c r="BG280" s="32" t="str">
        <f aca="false">IF(OR($M280="",$K280="",$K280=0),"",($M280-$K280)/$K280)</f>
        <v/>
      </c>
      <c r="BH280" s="32" t="str">
        <f aca="false">IF(OR($W280="",$N280="",$N280=0),"",($W280-$N280)/$N280)</f>
        <v/>
      </c>
      <c r="BI280" s="33" t="str">
        <f aca="false">IF(OR($O280="",$X280=""),"",$O280-$X280)</f>
        <v/>
      </c>
      <c r="BJ280" s="33" t="str">
        <f aca="false">IF(OR($P280="",$Y280=""),"",$P280-$Y280)</f>
        <v/>
      </c>
      <c r="BK280" s="34" t="str">
        <f aca="false">IF(OR($AN280="",$AO280="",$AN280=0),"",$AO280/$AN280)</f>
        <v/>
      </c>
      <c r="BL280" s="34" t="str">
        <f aca="false">IF(OR($AU280="",$AV280="",$AU280=0),"",$AV280/$AU280)</f>
        <v/>
      </c>
      <c r="BM280" s="7" t="str">
        <f aca="false">IF($Z280="","",IF(AND($Z280="Y",$AB280&lt;&gt;"N",$AC280&lt;&gt;"Y"),"Y","N"))</f>
        <v/>
      </c>
      <c r="BN280" s="7" t="str">
        <f aca="false">IF($AH280="","",IF($Z280&lt;&gt;"Y","undefined",IF($AH280&lt;=1,"Y","N")))</f>
        <v/>
      </c>
      <c r="BO280" s="7" t="str">
        <f aca="false">IF($AH280="","",IF($Z280&lt;&gt;"Y","undefined",IF($AH280&lt;=10,"Y","N")))</f>
        <v/>
      </c>
      <c r="BP280" s="7" t="str">
        <f aca="false">IF($AH280="","",IF($Z280&lt;&gt;"Y","undefined",IF($AH280&lt;=100,"Y","N")))</f>
        <v/>
      </c>
    </row>
    <row r="281" customFormat="false" ht="15" hidden="false" customHeight="false" outlineLevel="0" collapsed="false">
      <c r="A281" s="7" t="str">
        <f aca="false">IF($B281="","",$B281&amp;"|"&amp;$C281&amp;"|"&amp;$F281)</f>
        <v/>
      </c>
      <c r="B281" s="5"/>
      <c r="C281" s="5"/>
      <c r="D281" s="5"/>
      <c r="E281" s="5"/>
      <c r="F281" s="5"/>
      <c r="G281" s="5"/>
      <c r="H281" s="5"/>
      <c r="I281" s="5"/>
      <c r="J281" s="20"/>
      <c r="K281" s="20"/>
      <c r="L281" s="28"/>
      <c r="M281" s="20"/>
      <c r="N281" s="28"/>
      <c r="O281" s="19"/>
      <c r="P281" s="19"/>
      <c r="Q281" s="5"/>
      <c r="R281" s="19"/>
      <c r="S281" s="5"/>
      <c r="T281" s="20"/>
      <c r="U281" s="20"/>
      <c r="V281" s="29"/>
      <c r="W281" s="28"/>
      <c r="X281" s="19"/>
      <c r="Y281" s="19"/>
      <c r="Z281" s="5"/>
      <c r="AA281" s="19"/>
      <c r="AB281" s="5"/>
      <c r="AC281" s="5"/>
      <c r="AD281" s="5"/>
      <c r="AE281" s="5"/>
      <c r="AF281" s="30"/>
      <c r="AG281" s="30"/>
      <c r="AH281" s="30"/>
      <c r="AI281" s="30"/>
      <c r="AJ281" s="30"/>
      <c r="AK281" s="30"/>
      <c r="AL281" s="28"/>
      <c r="AM281" s="5"/>
      <c r="AN281" s="19"/>
      <c r="AO281" s="19"/>
      <c r="AP281" s="5"/>
      <c r="AQ281" s="5"/>
      <c r="AR281" s="5"/>
      <c r="AS281" s="5"/>
      <c r="AT281" s="5"/>
      <c r="AU281" s="19"/>
      <c r="AV281" s="19"/>
      <c r="AW281" s="5"/>
      <c r="AX281" s="5"/>
      <c r="AY281" s="19"/>
      <c r="AZ281" s="30"/>
      <c r="BA281" s="5"/>
      <c r="BB281" s="31" t="str">
        <f aca="false">IF(OR($T281="",$M281=""),"",$T281-$M281)</f>
        <v/>
      </c>
      <c r="BC281" s="32" t="str">
        <f aca="false">IF(OR($T281="",$M281="",$M281=0),"",($T281-$M281)/$M281)</f>
        <v/>
      </c>
      <c r="BD281" s="31" t="str">
        <f aca="false">IF(OR($U281="",$M281=""),"",$U281-$M281)</f>
        <v/>
      </c>
      <c r="BE281" s="32" t="str">
        <f aca="false">IF(OR($U281="",$M281="",$M281=0),"",($U281-$M281)/$M281)</f>
        <v/>
      </c>
      <c r="BF281" s="32" t="str">
        <f aca="false">IF(OR($U281="",$J281="",$J281=0),"",($U281-$J281)/$J281)</f>
        <v/>
      </c>
      <c r="BG281" s="32" t="str">
        <f aca="false">IF(OR($M281="",$K281="",$K281=0),"",($M281-$K281)/$K281)</f>
        <v/>
      </c>
      <c r="BH281" s="32" t="str">
        <f aca="false">IF(OR($W281="",$N281="",$N281=0),"",($W281-$N281)/$N281)</f>
        <v/>
      </c>
      <c r="BI281" s="33" t="str">
        <f aca="false">IF(OR($O281="",$X281=""),"",$O281-$X281)</f>
        <v/>
      </c>
      <c r="BJ281" s="33" t="str">
        <f aca="false">IF(OR($P281="",$Y281=""),"",$P281-$Y281)</f>
        <v/>
      </c>
      <c r="BK281" s="34" t="str">
        <f aca="false">IF(OR($AN281="",$AO281="",$AN281=0),"",$AO281/$AN281)</f>
        <v/>
      </c>
      <c r="BL281" s="34" t="str">
        <f aca="false">IF(OR($AU281="",$AV281="",$AU281=0),"",$AV281/$AU281)</f>
        <v/>
      </c>
      <c r="BM281" s="7" t="str">
        <f aca="false">IF($Z281="","",IF(AND($Z281="Y",$AB281&lt;&gt;"N",$AC281&lt;&gt;"Y"),"Y","N"))</f>
        <v/>
      </c>
      <c r="BN281" s="7" t="str">
        <f aca="false">IF($AH281="","",IF($Z281&lt;&gt;"Y","undefined",IF($AH281&lt;=1,"Y","N")))</f>
        <v/>
      </c>
      <c r="BO281" s="7" t="str">
        <f aca="false">IF($AH281="","",IF($Z281&lt;&gt;"Y","undefined",IF($AH281&lt;=10,"Y","N")))</f>
        <v/>
      </c>
      <c r="BP281" s="7" t="str">
        <f aca="false">IF($AH281="","",IF($Z281&lt;&gt;"Y","undefined",IF($AH281&lt;=100,"Y","N")))</f>
        <v/>
      </c>
    </row>
    <row r="282" customFormat="false" ht="15" hidden="false" customHeight="false" outlineLevel="0" collapsed="false">
      <c r="A282" s="7" t="str">
        <f aca="false">IF($B282="","",$B282&amp;"|"&amp;$C282&amp;"|"&amp;$F282)</f>
        <v/>
      </c>
      <c r="B282" s="5"/>
      <c r="C282" s="5"/>
      <c r="D282" s="5"/>
      <c r="E282" s="5"/>
      <c r="F282" s="5"/>
      <c r="G282" s="5"/>
      <c r="H282" s="5"/>
      <c r="I282" s="5"/>
      <c r="J282" s="20"/>
      <c r="K282" s="20"/>
      <c r="L282" s="28"/>
      <c r="M282" s="20"/>
      <c r="N282" s="28"/>
      <c r="O282" s="19"/>
      <c r="P282" s="19"/>
      <c r="Q282" s="5"/>
      <c r="R282" s="19"/>
      <c r="S282" s="5"/>
      <c r="T282" s="20"/>
      <c r="U282" s="20"/>
      <c r="V282" s="29"/>
      <c r="W282" s="28"/>
      <c r="X282" s="19"/>
      <c r="Y282" s="19"/>
      <c r="Z282" s="5"/>
      <c r="AA282" s="19"/>
      <c r="AB282" s="5"/>
      <c r="AC282" s="5"/>
      <c r="AD282" s="5"/>
      <c r="AE282" s="5"/>
      <c r="AF282" s="30"/>
      <c r="AG282" s="30"/>
      <c r="AH282" s="30"/>
      <c r="AI282" s="30"/>
      <c r="AJ282" s="30"/>
      <c r="AK282" s="30"/>
      <c r="AL282" s="28"/>
      <c r="AM282" s="5"/>
      <c r="AN282" s="19"/>
      <c r="AO282" s="19"/>
      <c r="AP282" s="5"/>
      <c r="AQ282" s="5"/>
      <c r="AR282" s="5"/>
      <c r="AS282" s="5"/>
      <c r="AT282" s="5"/>
      <c r="AU282" s="19"/>
      <c r="AV282" s="19"/>
      <c r="AW282" s="5"/>
      <c r="AX282" s="5"/>
      <c r="AY282" s="19"/>
      <c r="AZ282" s="30"/>
      <c r="BA282" s="5"/>
      <c r="BB282" s="31" t="str">
        <f aca="false">IF(OR($T282="",$M282=""),"",$T282-$M282)</f>
        <v/>
      </c>
      <c r="BC282" s="32" t="str">
        <f aca="false">IF(OR($T282="",$M282="",$M282=0),"",($T282-$M282)/$M282)</f>
        <v/>
      </c>
      <c r="BD282" s="31" t="str">
        <f aca="false">IF(OR($U282="",$M282=""),"",$U282-$M282)</f>
        <v/>
      </c>
      <c r="BE282" s="32" t="str">
        <f aca="false">IF(OR($U282="",$M282="",$M282=0),"",($U282-$M282)/$M282)</f>
        <v/>
      </c>
      <c r="BF282" s="32" t="str">
        <f aca="false">IF(OR($U282="",$J282="",$J282=0),"",($U282-$J282)/$J282)</f>
        <v/>
      </c>
      <c r="BG282" s="32" t="str">
        <f aca="false">IF(OR($M282="",$K282="",$K282=0),"",($M282-$K282)/$K282)</f>
        <v/>
      </c>
      <c r="BH282" s="32" t="str">
        <f aca="false">IF(OR($W282="",$N282="",$N282=0),"",($W282-$N282)/$N282)</f>
        <v/>
      </c>
      <c r="BI282" s="33" t="str">
        <f aca="false">IF(OR($O282="",$X282=""),"",$O282-$X282)</f>
        <v/>
      </c>
      <c r="BJ282" s="33" t="str">
        <f aca="false">IF(OR($P282="",$Y282=""),"",$P282-$Y282)</f>
        <v/>
      </c>
      <c r="BK282" s="34" t="str">
        <f aca="false">IF(OR($AN282="",$AO282="",$AN282=0),"",$AO282/$AN282)</f>
        <v/>
      </c>
      <c r="BL282" s="34" t="str">
        <f aca="false">IF(OR($AU282="",$AV282="",$AU282=0),"",$AV282/$AU282)</f>
        <v/>
      </c>
      <c r="BM282" s="7" t="str">
        <f aca="false">IF($Z282="","",IF(AND($Z282="Y",$AB282&lt;&gt;"N",$AC282&lt;&gt;"Y"),"Y","N"))</f>
        <v/>
      </c>
      <c r="BN282" s="7" t="str">
        <f aca="false">IF($AH282="","",IF($Z282&lt;&gt;"Y","undefined",IF($AH282&lt;=1,"Y","N")))</f>
        <v/>
      </c>
      <c r="BO282" s="7" t="str">
        <f aca="false">IF($AH282="","",IF($Z282&lt;&gt;"Y","undefined",IF($AH282&lt;=10,"Y","N")))</f>
        <v/>
      </c>
      <c r="BP282" s="7" t="str">
        <f aca="false">IF($AH282="","",IF($Z282&lt;&gt;"Y","undefined",IF($AH282&lt;=100,"Y","N")))</f>
        <v/>
      </c>
    </row>
    <row r="283" customFormat="false" ht="15" hidden="false" customHeight="false" outlineLevel="0" collapsed="false">
      <c r="A283" s="7" t="str">
        <f aca="false">IF($B283="","",$B283&amp;"|"&amp;$C283&amp;"|"&amp;$F283)</f>
        <v/>
      </c>
      <c r="B283" s="5"/>
      <c r="C283" s="5"/>
      <c r="D283" s="5"/>
      <c r="E283" s="5"/>
      <c r="F283" s="5"/>
      <c r="G283" s="5"/>
      <c r="H283" s="5"/>
      <c r="I283" s="5"/>
      <c r="J283" s="20"/>
      <c r="K283" s="20"/>
      <c r="L283" s="28"/>
      <c r="M283" s="20"/>
      <c r="N283" s="28"/>
      <c r="O283" s="19"/>
      <c r="P283" s="19"/>
      <c r="Q283" s="5"/>
      <c r="R283" s="19"/>
      <c r="S283" s="5"/>
      <c r="T283" s="20"/>
      <c r="U283" s="20"/>
      <c r="V283" s="29"/>
      <c r="W283" s="28"/>
      <c r="X283" s="19"/>
      <c r="Y283" s="19"/>
      <c r="Z283" s="5"/>
      <c r="AA283" s="19"/>
      <c r="AB283" s="5"/>
      <c r="AC283" s="5"/>
      <c r="AD283" s="5"/>
      <c r="AE283" s="5"/>
      <c r="AF283" s="30"/>
      <c r="AG283" s="30"/>
      <c r="AH283" s="30"/>
      <c r="AI283" s="30"/>
      <c r="AJ283" s="30"/>
      <c r="AK283" s="30"/>
      <c r="AL283" s="28"/>
      <c r="AM283" s="5"/>
      <c r="AN283" s="19"/>
      <c r="AO283" s="19"/>
      <c r="AP283" s="5"/>
      <c r="AQ283" s="5"/>
      <c r="AR283" s="5"/>
      <c r="AS283" s="5"/>
      <c r="AT283" s="5"/>
      <c r="AU283" s="19"/>
      <c r="AV283" s="19"/>
      <c r="AW283" s="5"/>
      <c r="AX283" s="5"/>
      <c r="AY283" s="19"/>
      <c r="AZ283" s="30"/>
      <c r="BA283" s="5"/>
      <c r="BB283" s="31" t="str">
        <f aca="false">IF(OR($T283="",$M283=""),"",$T283-$M283)</f>
        <v/>
      </c>
      <c r="BC283" s="32" t="str">
        <f aca="false">IF(OR($T283="",$M283="",$M283=0),"",($T283-$M283)/$M283)</f>
        <v/>
      </c>
      <c r="BD283" s="31" t="str">
        <f aca="false">IF(OR($U283="",$M283=""),"",$U283-$M283)</f>
        <v/>
      </c>
      <c r="BE283" s="32" t="str">
        <f aca="false">IF(OR($U283="",$M283="",$M283=0),"",($U283-$M283)/$M283)</f>
        <v/>
      </c>
      <c r="BF283" s="32" t="str">
        <f aca="false">IF(OR($U283="",$J283="",$J283=0),"",($U283-$J283)/$J283)</f>
        <v/>
      </c>
      <c r="BG283" s="32" t="str">
        <f aca="false">IF(OR($M283="",$K283="",$K283=0),"",($M283-$K283)/$K283)</f>
        <v/>
      </c>
      <c r="BH283" s="32" t="str">
        <f aca="false">IF(OR($W283="",$N283="",$N283=0),"",($W283-$N283)/$N283)</f>
        <v/>
      </c>
      <c r="BI283" s="33" t="str">
        <f aca="false">IF(OR($O283="",$X283=""),"",$O283-$X283)</f>
        <v/>
      </c>
      <c r="BJ283" s="33" t="str">
        <f aca="false">IF(OR($P283="",$Y283=""),"",$P283-$Y283)</f>
        <v/>
      </c>
      <c r="BK283" s="34" t="str">
        <f aca="false">IF(OR($AN283="",$AO283="",$AN283=0),"",$AO283/$AN283)</f>
        <v/>
      </c>
      <c r="BL283" s="34" t="str">
        <f aca="false">IF(OR($AU283="",$AV283="",$AU283=0),"",$AV283/$AU283)</f>
        <v/>
      </c>
      <c r="BM283" s="7" t="str">
        <f aca="false">IF($Z283="","",IF(AND($Z283="Y",$AB283&lt;&gt;"N",$AC283&lt;&gt;"Y"),"Y","N"))</f>
        <v/>
      </c>
      <c r="BN283" s="7" t="str">
        <f aca="false">IF($AH283="","",IF($Z283&lt;&gt;"Y","undefined",IF($AH283&lt;=1,"Y","N")))</f>
        <v/>
      </c>
      <c r="BO283" s="7" t="str">
        <f aca="false">IF($AH283="","",IF($Z283&lt;&gt;"Y","undefined",IF($AH283&lt;=10,"Y","N")))</f>
        <v/>
      </c>
      <c r="BP283" s="7" t="str">
        <f aca="false">IF($AH283="","",IF($Z283&lt;&gt;"Y","undefined",IF($AH283&lt;=100,"Y","N")))</f>
        <v/>
      </c>
    </row>
    <row r="284" customFormat="false" ht="15" hidden="false" customHeight="false" outlineLevel="0" collapsed="false">
      <c r="A284" s="7" t="str">
        <f aca="false">IF($B284="","",$B284&amp;"|"&amp;$C284&amp;"|"&amp;$F284)</f>
        <v/>
      </c>
      <c r="B284" s="5"/>
      <c r="C284" s="5"/>
      <c r="D284" s="5"/>
      <c r="E284" s="5"/>
      <c r="F284" s="5"/>
      <c r="G284" s="5"/>
      <c r="H284" s="5"/>
      <c r="I284" s="5"/>
      <c r="J284" s="20"/>
      <c r="K284" s="20"/>
      <c r="L284" s="28"/>
      <c r="M284" s="20"/>
      <c r="N284" s="28"/>
      <c r="O284" s="19"/>
      <c r="P284" s="19"/>
      <c r="Q284" s="5"/>
      <c r="R284" s="19"/>
      <c r="S284" s="5"/>
      <c r="T284" s="20"/>
      <c r="U284" s="20"/>
      <c r="V284" s="29"/>
      <c r="W284" s="28"/>
      <c r="X284" s="19"/>
      <c r="Y284" s="19"/>
      <c r="Z284" s="5"/>
      <c r="AA284" s="19"/>
      <c r="AB284" s="5"/>
      <c r="AC284" s="5"/>
      <c r="AD284" s="5"/>
      <c r="AE284" s="5"/>
      <c r="AF284" s="30"/>
      <c r="AG284" s="30"/>
      <c r="AH284" s="30"/>
      <c r="AI284" s="30"/>
      <c r="AJ284" s="30"/>
      <c r="AK284" s="30"/>
      <c r="AL284" s="28"/>
      <c r="AM284" s="5"/>
      <c r="AN284" s="19"/>
      <c r="AO284" s="19"/>
      <c r="AP284" s="5"/>
      <c r="AQ284" s="5"/>
      <c r="AR284" s="5"/>
      <c r="AS284" s="5"/>
      <c r="AT284" s="5"/>
      <c r="AU284" s="19"/>
      <c r="AV284" s="19"/>
      <c r="AW284" s="5"/>
      <c r="AX284" s="5"/>
      <c r="AY284" s="19"/>
      <c r="AZ284" s="30"/>
      <c r="BA284" s="5"/>
      <c r="BB284" s="31" t="str">
        <f aca="false">IF(OR($T284="",$M284=""),"",$T284-$M284)</f>
        <v/>
      </c>
      <c r="BC284" s="32" t="str">
        <f aca="false">IF(OR($T284="",$M284="",$M284=0),"",($T284-$M284)/$M284)</f>
        <v/>
      </c>
      <c r="BD284" s="31" t="str">
        <f aca="false">IF(OR($U284="",$M284=""),"",$U284-$M284)</f>
        <v/>
      </c>
      <c r="BE284" s="32" t="str">
        <f aca="false">IF(OR($U284="",$M284="",$M284=0),"",($U284-$M284)/$M284)</f>
        <v/>
      </c>
      <c r="BF284" s="32" t="str">
        <f aca="false">IF(OR($U284="",$J284="",$J284=0),"",($U284-$J284)/$J284)</f>
        <v/>
      </c>
      <c r="BG284" s="32" t="str">
        <f aca="false">IF(OR($M284="",$K284="",$K284=0),"",($M284-$K284)/$K284)</f>
        <v/>
      </c>
      <c r="BH284" s="32" t="str">
        <f aca="false">IF(OR($W284="",$N284="",$N284=0),"",($W284-$N284)/$N284)</f>
        <v/>
      </c>
      <c r="BI284" s="33" t="str">
        <f aca="false">IF(OR($O284="",$X284=""),"",$O284-$X284)</f>
        <v/>
      </c>
      <c r="BJ284" s="33" t="str">
        <f aca="false">IF(OR($P284="",$Y284=""),"",$P284-$Y284)</f>
        <v/>
      </c>
      <c r="BK284" s="34" t="str">
        <f aca="false">IF(OR($AN284="",$AO284="",$AN284=0),"",$AO284/$AN284)</f>
        <v/>
      </c>
      <c r="BL284" s="34" t="str">
        <f aca="false">IF(OR($AU284="",$AV284="",$AU284=0),"",$AV284/$AU284)</f>
        <v/>
      </c>
      <c r="BM284" s="7" t="str">
        <f aca="false">IF($Z284="","",IF(AND($Z284="Y",$AB284&lt;&gt;"N",$AC284&lt;&gt;"Y"),"Y","N"))</f>
        <v/>
      </c>
      <c r="BN284" s="7" t="str">
        <f aca="false">IF($AH284="","",IF($Z284&lt;&gt;"Y","undefined",IF($AH284&lt;=1,"Y","N")))</f>
        <v/>
      </c>
      <c r="BO284" s="7" t="str">
        <f aca="false">IF($AH284="","",IF($Z284&lt;&gt;"Y","undefined",IF($AH284&lt;=10,"Y","N")))</f>
        <v/>
      </c>
      <c r="BP284" s="7" t="str">
        <f aca="false">IF($AH284="","",IF($Z284&lt;&gt;"Y","undefined",IF($AH284&lt;=100,"Y","N")))</f>
        <v/>
      </c>
    </row>
    <row r="285" customFormat="false" ht="15" hidden="false" customHeight="false" outlineLevel="0" collapsed="false">
      <c r="A285" s="7" t="str">
        <f aca="false">IF($B285="","",$B285&amp;"|"&amp;$C285&amp;"|"&amp;$F285)</f>
        <v/>
      </c>
      <c r="B285" s="5"/>
      <c r="C285" s="5"/>
      <c r="D285" s="5"/>
      <c r="E285" s="5"/>
      <c r="F285" s="5"/>
      <c r="G285" s="5"/>
      <c r="H285" s="5"/>
      <c r="I285" s="5"/>
      <c r="J285" s="20"/>
      <c r="K285" s="20"/>
      <c r="L285" s="28"/>
      <c r="M285" s="20"/>
      <c r="N285" s="28"/>
      <c r="O285" s="19"/>
      <c r="P285" s="19"/>
      <c r="Q285" s="5"/>
      <c r="R285" s="19"/>
      <c r="S285" s="5"/>
      <c r="T285" s="20"/>
      <c r="U285" s="20"/>
      <c r="V285" s="29"/>
      <c r="W285" s="28"/>
      <c r="X285" s="19"/>
      <c r="Y285" s="19"/>
      <c r="Z285" s="5"/>
      <c r="AA285" s="19"/>
      <c r="AB285" s="5"/>
      <c r="AC285" s="5"/>
      <c r="AD285" s="5"/>
      <c r="AE285" s="5"/>
      <c r="AF285" s="30"/>
      <c r="AG285" s="30"/>
      <c r="AH285" s="30"/>
      <c r="AI285" s="30"/>
      <c r="AJ285" s="30"/>
      <c r="AK285" s="30"/>
      <c r="AL285" s="28"/>
      <c r="AM285" s="5"/>
      <c r="AN285" s="19"/>
      <c r="AO285" s="19"/>
      <c r="AP285" s="5"/>
      <c r="AQ285" s="5"/>
      <c r="AR285" s="5"/>
      <c r="AS285" s="5"/>
      <c r="AT285" s="5"/>
      <c r="AU285" s="19"/>
      <c r="AV285" s="19"/>
      <c r="AW285" s="5"/>
      <c r="AX285" s="5"/>
      <c r="AY285" s="19"/>
      <c r="AZ285" s="30"/>
      <c r="BA285" s="5"/>
      <c r="BB285" s="31" t="str">
        <f aca="false">IF(OR($T285="",$M285=""),"",$T285-$M285)</f>
        <v/>
      </c>
      <c r="BC285" s="32" t="str">
        <f aca="false">IF(OR($T285="",$M285="",$M285=0),"",($T285-$M285)/$M285)</f>
        <v/>
      </c>
      <c r="BD285" s="31" t="str">
        <f aca="false">IF(OR($U285="",$M285=""),"",$U285-$M285)</f>
        <v/>
      </c>
      <c r="BE285" s="32" t="str">
        <f aca="false">IF(OR($U285="",$M285="",$M285=0),"",($U285-$M285)/$M285)</f>
        <v/>
      </c>
      <c r="BF285" s="32" t="str">
        <f aca="false">IF(OR($U285="",$J285="",$J285=0),"",($U285-$J285)/$J285)</f>
        <v/>
      </c>
      <c r="BG285" s="32" t="str">
        <f aca="false">IF(OR($M285="",$K285="",$K285=0),"",($M285-$K285)/$K285)</f>
        <v/>
      </c>
      <c r="BH285" s="32" t="str">
        <f aca="false">IF(OR($W285="",$N285="",$N285=0),"",($W285-$N285)/$N285)</f>
        <v/>
      </c>
      <c r="BI285" s="33" t="str">
        <f aca="false">IF(OR($O285="",$X285=""),"",$O285-$X285)</f>
        <v/>
      </c>
      <c r="BJ285" s="33" t="str">
        <f aca="false">IF(OR($P285="",$Y285=""),"",$P285-$Y285)</f>
        <v/>
      </c>
      <c r="BK285" s="34" t="str">
        <f aca="false">IF(OR($AN285="",$AO285="",$AN285=0),"",$AO285/$AN285)</f>
        <v/>
      </c>
      <c r="BL285" s="34" t="str">
        <f aca="false">IF(OR($AU285="",$AV285="",$AU285=0),"",$AV285/$AU285)</f>
        <v/>
      </c>
      <c r="BM285" s="7" t="str">
        <f aca="false">IF($Z285="","",IF(AND($Z285="Y",$AB285&lt;&gt;"N",$AC285&lt;&gt;"Y"),"Y","N"))</f>
        <v/>
      </c>
      <c r="BN285" s="7" t="str">
        <f aca="false">IF($AH285="","",IF($Z285&lt;&gt;"Y","undefined",IF($AH285&lt;=1,"Y","N")))</f>
        <v/>
      </c>
      <c r="BO285" s="7" t="str">
        <f aca="false">IF($AH285="","",IF($Z285&lt;&gt;"Y","undefined",IF($AH285&lt;=10,"Y","N")))</f>
        <v/>
      </c>
      <c r="BP285" s="7" t="str">
        <f aca="false">IF($AH285="","",IF($Z285&lt;&gt;"Y","undefined",IF($AH285&lt;=100,"Y","N")))</f>
        <v/>
      </c>
    </row>
    <row r="286" customFormat="false" ht="15" hidden="false" customHeight="false" outlineLevel="0" collapsed="false">
      <c r="A286" s="7" t="str">
        <f aca="false">IF($B286="","",$B286&amp;"|"&amp;$C286&amp;"|"&amp;$F286)</f>
        <v/>
      </c>
      <c r="B286" s="5"/>
      <c r="C286" s="5"/>
      <c r="D286" s="5"/>
      <c r="E286" s="5"/>
      <c r="F286" s="5"/>
      <c r="G286" s="5"/>
      <c r="H286" s="5"/>
      <c r="I286" s="5"/>
      <c r="J286" s="20"/>
      <c r="K286" s="20"/>
      <c r="L286" s="28"/>
      <c r="M286" s="20"/>
      <c r="N286" s="28"/>
      <c r="O286" s="19"/>
      <c r="P286" s="19"/>
      <c r="Q286" s="5"/>
      <c r="R286" s="19"/>
      <c r="S286" s="5"/>
      <c r="T286" s="20"/>
      <c r="U286" s="20"/>
      <c r="V286" s="29"/>
      <c r="W286" s="28"/>
      <c r="X286" s="19"/>
      <c r="Y286" s="19"/>
      <c r="Z286" s="5"/>
      <c r="AA286" s="19"/>
      <c r="AB286" s="5"/>
      <c r="AC286" s="5"/>
      <c r="AD286" s="5"/>
      <c r="AE286" s="5"/>
      <c r="AF286" s="30"/>
      <c r="AG286" s="30"/>
      <c r="AH286" s="30"/>
      <c r="AI286" s="30"/>
      <c r="AJ286" s="30"/>
      <c r="AK286" s="30"/>
      <c r="AL286" s="28"/>
      <c r="AM286" s="5"/>
      <c r="AN286" s="19"/>
      <c r="AO286" s="19"/>
      <c r="AP286" s="5"/>
      <c r="AQ286" s="5"/>
      <c r="AR286" s="5"/>
      <c r="AS286" s="5"/>
      <c r="AT286" s="5"/>
      <c r="AU286" s="19"/>
      <c r="AV286" s="19"/>
      <c r="AW286" s="5"/>
      <c r="AX286" s="5"/>
      <c r="AY286" s="19"/>
      <c r="AZ286" s="30"/>
      <c r="BA286" s="5"/>
      <c r="BB286" s="31" t="str">
        <f aca="false">IF(OR($T286="",$M286=""),"",$T286-$M286)</f>
        <v/>
      </c>
      <c r="BC286" s="32" t="str">
        <f aca="false">IF(OR($T286="",$M286="",$M286=0),"",($T286-$M286)/$M286)</f>
        <v/>
      </c>
      <c r="BD286" s="31" t="str">
        <f aca="false">IF(OR($U286="",$M286=""),"",$U286-$M286)</f>
        <v/>
      </c>
      <c r="BE286" s="32" t="str">
        <f aca="false">IF(OR($U286="",$M286="",$M286=0),"",($U286-$M286)/$M286)</f>
        <v/>
      </c>
      <c r="BF286" s="32" t="str">
        <f aca="false">IF(OR($U286="",$J286="",$J286=0),"",($U286-$J286)/$J286)</f>
        <v/>
      </c>
      <c r="BG286" s="32" t="str">
        <f aca="false">IF(OR($M286="",$K286="",$K286=0),"",($M286-$K286)/$K286)</f>
        <v/>
      </c>
      <c r="BH286" s="32" t="str">
        <f aca="false">IF(OR($W286="",$N286="",$N286=0),"",($W286-$N286)/$N286)</f>
        <v/>
      </c>
      <c r="BI286" s="33" t="str">
        <f aca="false">IF(OR($O286="",$X286=""),"",$O286-$X286)</f>
        <v/>
      </c>
      <c r="BJ286" s="33" t="str">
        <f aca="false">IF(OR($P286="",$Y286=""),"",$P286-$Y286)</f>
        <v/>
      </c>
      <c r="BK286" s="34" t="str">
        <f aca="false">IF(OR($AN286="",$AO286="",$AN286=0),"",$AO286/$AN286)</f>
        <v/>
      </c>
      <c r="BL286" s="34" t="str">
        <f aca="false">IF(OR($AU286="",$AV286="",$AU286=0),"",$AV286/$AU286)</f>
        <v/>
      </c>
      <c r="BM286" s="7" t="str">
        <f aca="false">IF($Z286="","",IF(AND($Z286="Y",$AB286&lt;&gt;"N",$AC286&lt;&gt;"Y"),"Y","N"))</f>
        <v/>
      </c>
      <c r="BN286" s="7" t="str">
        <f aca="false">IF($AH286="","",IF($Z286&lt;&gt;"Y","undefined",IF($AH286&lt;=1,"Y","N")))</f>
        <v/>
      </c>
      <c r="BO286" s="7" t="str">
        <f aca="false">IF($AH286="","",IF($Z286&lt;&gt;"Y","undefined",IF($AH286&lt;=10,"Y","N")))</f>
        <v/>
      </c>
      <c r="BP286" s="7" t="str">
        <f aca="false">IF($AH286="","",IF($Z286&lt;&gt;"Y","undefined",IF($AH286&lt;=100,"Y","N")))</f>
        <v/>
      </c>
    </row>
    <row r="287" customFormat="false" ht="15" hidden="false" customHeight="false" outlineLevel="0" collapsed="false">
      <c r="A287" s="7" t="str">
        <f aca="false">IF($B287="","",$B287&amp;"|"&amp;$C287&amp;"|"&amp;$F287)</f>
        <v/>
      </c>
      <c r="B287" s="5"/>
      <c r="C287" s="5"/>
      <c r="D287" s="5"/>
      <c r="E287" s="5"/>
      <c r="F287" s="5"/>
      <c r="G287" s="5"/>
      <c r="H287" s="5"/>
      <c r="I287" s="5"/>
      <c r="J287" s="20"/>
      <c r="K287" s="20"/>
      <c r="L287" s="28"/>
      <c r="M287" s="20"/>
      <c r="N287" s="28"/>
      <c r="O287" s="19"/>
      <c r="P287" s="19"/>
      <c r="Q287" s="5"/>
      <c r="R287" s="19"/>
      <c r="S287" s="5"/>
      <c r="T287" s="20"/>
      <c r="U287" s="20"/>
      <c r="V287" s="29"/>
      <c r="W287" s="28"/>
      <c r="X287" s="19"/>
      <c r="Y287" s="19"/>
      <c r="Z287" s="5"/>
      <c r="AA287" s="19"/>
      <c r="AB287" s="5"/>
      <c r="AC287" s="5"/>
      <c r="AD287" s="5"/>
      <c r="AE287" s="5"/>
      <c r="AF287" s="30"/>
      <c r="AG287" s="30"/>
      <c r="AH287" s="30"/>
      <c r="AI287" s="30"/>
      <c r="AJ287" s="30"/>
      <c r="AK287" s="30"/>
      <c r="AL287" s="28"/>
      <c r="AM287" s="5"/>
      <c r="AN287" s="19"/>
      <c r="AO287" s="19"/>
      <c r="AP287" s="5"/>
      <c r="AQ287" s="5"/>
      <c r="AR287" s="5"/>
      <c r="AS287" s="5"/>
      <c r="AT287" s="5"/>
      <c r="AU287" s="19"/>
      <c r="AV287" s="19"/>
      <c r="AW287" s="5"/>
      <c r="AX287" s="5"/>
      <c r="AY287" s="19"/>
      <c r="AZ287" s="30"/>
      <c r="BA287" s="5"/>
      <c r="BB287" s="31" t="str">
        <f aca="false">IF(OR($T287="",$M287=""),"",$T287-$M287)</f>
        <v/>
      </c>
      <c r="BC287" s="32" t="str">
        <f aca="false">IF(OR($T287="",$M287="",$M287=0),"",($T287-$M287)/$M287)</f>
        <v/>
      </c>
      <c r="BD287" s="31" t="str">
        <f aca="false">IF(OR($U287="",$M287=""),"",$U287-$M287)</f>
        <v/>
      </c>
      <c r="BE287" s="32" t="str">
        <f aca="false">IF(OR($U287="",$M287="",$M287=0),"",($U287-$M287)/$M287)</f>
        <v/>
      </c>
      <c r="BF287" s="32" t="str">
        <f aca="false">IF(OR($U287="",$J287="",$J287=0),"",($U287-$J287)/$J287)</f>
        <v/>
      </c>
      <c r="BG287" s="32" t="str">
        <f aca="false">IF(OR($M287="",$K287="",$K287=0),"",($M287-$K287)/$K287)</f>
        <v/>
      </c>
      <c r="BH287" s="32" t="str">
        <f aca="false">IF(OR($W287="",$N287="",$N287=0),"",($W287-$N287)/$N287)</f>
        <v/>
      </c>
      <c r="BI287" s="33" t="str">
        <f aca="false">IF(OR($O287="",$X287=""),"",$O287-$X287)</f>
        <v/>
      </c>
      <c r="BJ287" s="33" t="str">
        <f aca="false">IF(OR($P287="",$Y287=""),"",$P287-$Y287)</f>
        <v/>
      </c>
      <c r="BK287" s="34" t="str">
        <f aca="false">IF(OR($AN287="",$AO287="",$AN287=0),"",$AO287/$AN287)</f>
        <v/>
      </c>
      <c r="BL287" s="34" t="str">
        <f aca="false">IF(OR($AU287="",$AV287="",$AU287=0),"",$AV287/$AU287)</f>
        <v/>
      </c>
      <c r="BM287" s="7" t="str">
        <f aca="false">IF($Z287="","",IF(AND($Z287="Y",$AB287&lt;&gt;"N",$AC287&lt;&gt;"Y"),"Y","N"))</f>
        <v/>
      </c>
      <c r="BN287" s="7" t="str">
        <f aca="false">IF($AH287="","",IF($Z287&lt;&gt;"Y","undefined",IF($AH287&lt;=1,"Y","N")))</f>
        <v/>
      </c>
      <c r="BO287" s="7" t="str">
        <f aca="false">IF($AH287="","",IF($Z287&lt;&gt;"Y","undefined",IF($AH287&lt;=10,"Y","N")))</f>
        <v/>
      </c>
      <c r="BP287" s="7" t="str">
        <f aca="false">IF($AH287="","",IF($Z287&lt;&gt;"Y","undefined",IF($AH287&lt;=100,"Y","N")))</f>
        <v/>
      </c>
    </row>
    <row r="288" customFormat="false" ht="15" hidden="false" customHeight="false" outlineLevel="0" collapsed="false">
      <c r="A288" s="7" t="str">
        <f aca="false">IF($B288="","",$B288&amp;"|"&amp;$C288&amp;"|"&amp;$F288)</f>
        <v/>
      </c>
      <c r="B288" s="5"/>
      <c r="C288" s="5"/>
      <c r="D288" s="5"/>
      <c r="E288" s="5"/>
      <c r="F288" s="5"/>
      <c r="G288" s="5"/>
      <c r="H288" s="5"/>
      <c r="I288" s="5"/>
      <c r="J288" s="20"/>
      <c r="K288" s="20"/>
      <c r="L288" s="28"/>
      <c r="M288" s="20"/>
      <c r="N288" s="28"/>
      <c r="O288" s="19"/>
      <c r="P288" s="19"/>
      <c r="Q288" s="5"/>
      <c r="R288" s="19"/>
      <c r="S288" s="5"/>
      <c r="T288" s="20"/>
      <c r="U288" s="20"/>
      <c r="V288" s="29"/>
      <c r="W288" s="28"/>
      <c r="X288" s="19"/>
      <c r="Y288" s="19"/>
      <c r="Z288" s="5"/>
      <c r="AA288" s="19"/>
      <c r="AB288" s="5"/>
      <c r="AC288" s="5"/>
      <c r="AD288" s="5"/>
      <c r="AE288" s="5"/>
      <c r="AF288" s="30"/>
      <c r="AG288" s="30"/>
      <c r="AH288" s="30"/>
      <c r="AI288" s="30"/>
      <c r="AJ288" s="30"/>
      <c r="AK288" s="30"/>
      <c r="AL288" s="28"/>
      <c r="AM288" s="5"/>
      <c r="AN288" s="19"/>
      <c r="AO288" s="19"/>
      <c r="AP288" s="5"/>
      <c r="AQ288" s="5"/>
      <c r="AR288" s="5"/>
      <c r="AS288" s="5"/>
      <c r="AT288" s="5"/>
      <c r="AU288" s="19"/>
      <c r="AV288" s="19"/>
      <c r="AW288" s="5"/>
      <c r="AX288" s="5"/>
      <c r="AY288" s="19"/>
      <c r="AZ288" s="30"/>
      <c r="BA288" s="5"/>
      <c r="BB288" s="31" t="str">
        <f aca="false">IF(OR($T288="",$M288=""),"",$T288-$M288)</f>
        <v/>
      </c>
      <c r="BC288" s="32" t="str">
        <f aca="false">IF(OR($T288="",$M288="",$M288=0),"",($T288-$M288)/$M288)</f>
        <v/>
      </c>
      <c r="BD288" s="31" t="str">
        <f aca="false">IF(OR($U288="",$M288=""),"",$U288-$M288)</f>
        <v/>
      </c>
      <c r="BE288" s="32" t="str">
        <f aca="false">IF(OR($U288="",$M288="",$M288=0),"",($U288-$M288)/$M288)</f>
        <v/>
      </c>
      <c r="BF288" s="32" t="str">
        <f aca="false">IF(OR($U288="",$J288="",$J288=0),"",($U288-$J288)/$J288)</f>
        <v/>
      </c>
      <c r="BG288" s="32" t="str">
        <f aca="false">IF(OR($M288="",$K288="",$K288=0),"",($M288-$K288)/$K288)</f>
        <v/>
      </c>
      <c r="BH288" s="32" t="str">
        <f aca="false">IF(OR($W288="",$N288="",$N288=0),"",($W288-$N288)/$N288)</f>
        <v/>
      </c>
      <c r="BI288" s="33" t="str">
        <f aca="false">IF(OR($O288="",$X288=""),"",$O288-$X288)</f>
        <v/>
      </c>
      <c r="BJ288" s="33" t="str">
        <f aca="false">IF(OR($P288="",$Y288=""),"",$P288-$Y288)</f>
        <v/>
      </c>
      <c r="BK288" s="34" t="str">
        <f aca="false">IF(OR($AN288="",$AO288="",$AN288=0),"",$AO288/$AN288)</f>
        <v/>
      </c>
      <c r="BL288" s="34" t="str">
        <f aca="false">IF(OR($AU288="",$AV288="",$AU288=0),"",$AV288/$AU288)</f>
        <v/>
      </c>
      <c r="BM288" s="7" t="str">
        <f aca="false">IF($Z288="","",IF(AND($Z288="Y",$AB288&lt;&gt;"N",$AC288&lt;&gt;"Y"),"Y","N"))</f>
        <v/>
      </c>
      <c r="BN288" s="7" t="str">
        <f aca="false">IF($AH288="","",IF($Z288&lt;&gt;"Y","undefined",IF($AH288&lt;=1,"Y","N")))</f>
        <v/>
      </c>
      <c r="BO288" s="7" t="str">
        <f aca="false">IF($AH288="","",IF($Z288&lt;&gt;"Y","undefined",IF($AH288&lt;=10,"Y","N")))</f>
        <v/>
      </c>
      <c r="BP288" s="7" t="str">
        <f aca="false">IF($AH288="","",IF($Z288&lt;&gt;"Y","undefined",IF($AH288&lt;=100,"Y","N")))</f>
        <v/>
      </c>
    </row>
    <row r="289" customFormat="false" ht="15" hidden="false" customHeight="false" outlineLevel="0" collapsed="false">
      <c r="A289" s="7" t="str">
        <f aca="false">IF($B289="","",$B289&amp;"|"&amp;$C289&amp;"|"&amp;$F289)</f>
        <v/>
      </c>
      <c r="B289" s="5"/>
      <c r="C289" s="5"/>
      <c r="D289" s="5"/>
      <c r="E289" s="5"/>
      <c r="F289" s="5"/>
      <c r="G289" s="5"/>
      <c r="H289" s="5"/>
      <c r="I289" s="5"/>
      <c r="J289" s="20"/>
      <c r="K289" s="20"/>
      <c r="L289" s="28"/>
      <c r="M289" s="20"/>
      <c r="N289" s="28"/>
      <c r="O289" s="19"/>
      <c r="P289" s="19"/>
      <c r="Q289" s="5"/>
      <c r="R289" s="19"/>
      <c r="S289" s="5"/>
      <c r="T289" s="20"/>
      <c r="U289" s="20"/>
      <c r="V289" s="29"/>
      <c r="W289" s="28"/>
      <c r="X289" s="19"/>
      <c r="Y289" s="19"/>
      <c r="Z289" s="5"/>
      <c r="AA289" s="19"/>
      <c r="AB289" s="5"/>
      <c r="AC289" s="5"/>
      <c r="AD289" s="5"/>
      <c r="AE289" s="5"/>
      <c r="AF289" s="30"/>
      <c r="AG289" s="30"/>
      <c r="AH289" s="30"/>
      <c r="AI289" s="30"/>
      <c r="AJ289" s="30"/>
      <c r="AK289" s="30"/>
      <c r="AL289" s="28"/>
      <c r="AM289" s="5"/>
      <c r="AN289" s="19"/>
      <c r="AO289" s="19"/>
      <c r="AP289" s="5"/>
      <c r="AQ289" s="5"/>
      <c r="AR289" s="5"/>
      <c r="AS289" s="5"/>
      <c r="AT289" s="5"/>
      <c r="AU289" s="19"/>
      <c r="AV289" s="19"/>
      <c r="AW289" s="5"/>
      <c r="AX289" s="5"/>
      <c r="AY289" s="19"/>
      <c r="AZ289" s="30"/>
      <c r="BA289" s="5"/>
      <c r="BB289" s="31" t="str">
        <f aca="false">IF(OR($T289="",$M289=""),"",$T289-$M289)</f>
        <v/>
      </c>
      <c r="BC289" s="32" t="str">
        <f aca="false">IF(OR($T289="",$M289="",$M289=0),"",($T289-$M289)/$M289)</f>
        <v/>
      </c>
      <c r="BD289" s="31" t="str">
        <f aca="false">IF(OR($U289="",$M289=""),"",$U289-$M289)</f>
        <v/>
      </c>
      <c r="BE289" s="32" t="str">
        <f aca="false">IF(OR($U289="",$M289="",$M289=0),"",($U289-$M289)/$M289)</f>
        <v/>
      </c>
      <c r="BF289" s="32" t="str">
        <f aca="false">IF(OR($U289="",$J289="",$J289=0),"",($U289-$J289)/$J289)</f>
        <v/>
      </c>
      <c r="BG289" s="32" t="str">
        <f aca="false">IF(OR($M289="",$K289="",$K289=0),"",($M289-$K289)/$K289)</f>
        <v/>
      </c>
      <c r="BH289" s="32" t="str">
        <f aca="false">IF(OR($W289="",$N289="",$N289=0),"",($W289-$N289)/$N289)</f>
        <v/>
      </c>
      <c r="BI289" s="33" t="str">
        <f aca="false">IF(OR($O289="",$X289=""),"",$O289-$X289)</f>
        <v/>
      </c>
      <c r="BJ289" s="33" t="str">
        <f aca="false">IF(OR($P289="",$Y289=""),"",$P289-$Y289)</f>
        <v/>
      </c>
      <c r="BK289" s="34" t="str">
        <f aca="false">IF(OR($AN289="",$AO289="",$AN289=0),"",$AO289/$AN289)</f>
        <v/>
      </c>
      <c r="BL289" s="34" t="str">
        <f aca="false">IF(OR($AU289="",$AV289="",$AU289=0),"",$AV289/$AU289)</f>
        <v/>
      </c>
      <c r="BM289" s="7" t="str">
        <f aca="false">IF($Z289="","",IF(AND($Z289="Y",$AB289&lt;&gt;"N",$AC289&lt;&gt;"Y"),"Y","N"))</f>
        <v/>
      </c>
      <c r="BN289" s="7" t="str">
        <f aca="false">IF($AH289="","",IF($Z289&lt;&gt;"Y","undefined",IF($AH289&lt;=1,"Y","N")))</f>
        <v/>
      </c>
      <c r="BO289" s="7" t="str">
        <f aca="false">IF($AH289="","",IF($Z289&lt;&gt;"Y","undefined",IF($AH289&lt;=10,"Y","N")))</f>
        <v/>
      </c>
      <c r="BP289" s="7" t="str">
        <f aca="false">IF($AH289="","",IF($Z289&lt;&gt;"Y","undefined",IF($AH289&lt;=100,"Y","N")))</f>
        <v/>
      </c>
    </row>
    <row r="290" customFormat="false" ht="15" hidden="false" customHeight="false" outlineLevel="0" collapsed="false">
      <c r="A290" s="7" t="str">
        <f aca="false">IF($B290="","",$B290&amp;"|"&amp;$C290&amp;"|"&amp;$F290)</f>
        <v/>
      </c>
      <c r="B290" s="5"/>
      <c r="C290" s="5"/>
      <c r="D290" s="5"/>
      <c r="E290" s="5"/>
      <c r="F290" s="5"/>
      <c r="G290" s="5"/>
      <c r="H290" s="5"/>
      <c r="I290" s="5"/>
      <c r="J290" s="20"/>
      <c r="K290" s="20"/>
      <c r="L290" s="28"/>
      <c r="M290" s="20"/>
      <c r="N290" s="28"/>
      <c r="O290" s="19"/>
      <c r="P290" s="19"/>
      <c r="Q290" s="5"/>
      <c r="R290" s="19"/>
      <c r="S290" s="5"/>
      <c r="T290" s="20"/>
      <c r="U290" s="20"/>
      <c r="V290" s="29"/>
      <c r="W290" s="28"/>
      <c r="X290" s="19"/>
      <c r="Y290" s="19"/>
      <c r="Z290" s="5"/>
      <c r="AA290" s="19"/>
      <c r="AB290" s="5"/>
      <c r="AC290" s="5"/>
      <c r="AD290" s="5"/>
      <c r="AE290" s="5"/>
      <c r="AF290" s="30"/>
      <c r="AG290" s="30"/>
      <c r="AH290" s="30"/>
      <c r="AI290" s="30"/>
      <c r="AJ290" s="30"/>
      <c r="AK290" s="30"/>
      <c r="AL290" s="28"/>
      <c r="AM290" s="5"/>
      <c r="AN290" s="19"/>
      <c r="AO290" s="19"/>
      <c r="AP290" s="5"/>
      <c r="AQ290" s="5"/>
      <c r="AR290" s="5"/>
      <c r="AS290" s="5"/>
      <c r="AT290" s="5"/>
      <c r="AU290" s="19"/>
      <c r="AV290" s="19"/>
      <c r="AW290" s="5"/>
      <c r="AX290" s="5"/>
      <c r="AY290" s="19"/>
      <c r="AZ290" s="30"/>
      <c r="BA290" s="5"/>
      <c r="BB290" s="31" t="str">
        <f aca="false">IF(OR($T290="",$M290=""),"",$T290-$M290)</f>
        <v/>
      </c>
      <c r="BC290" s="32" t="str">
        <f aca="false">IF(OR($T290="",$M290="",$M290=0),"",($T290-$M290)/$M290)</f>
        <v/>
      </c>
      <c r="BD290" s="31" t="str">
        <f aca="false">IF(OR($U290="",$M290=""),"",$U290-$M290)</f>
        <v/>
      </c>
      <c r="BE290" s="32" t="str">
        <f aca="false">IF(OR($U290="",$M290="",$M290=0),"",($U290-$M290)/$M290)</f>
        <v/>
      </c>
      <c r="BF290" s="32" t="str">
        <f aca="false">IF(OR($U290="",$J290="",$J290=0),"",($U290-$J290)/$J290)</f>
        <v/>
      </c>
      <c r="BG290" s="32" t="str">
        <f aca="false">IF(OR($M290="",$K290="",$K290=0),"",($M290-$K290)/$K290)</f>
        <v/>
      </c>
      <c r="BH290" s="32" t="str">
        <f aca="false">IF(OR($W290="",$N290="",$N290=0),"",($W290-$N290)/$N290)</f>
        <v/>
      </c>
      <c r="BI290" s="33" t="str">
        <f aca="false">IF(OR($O290="",$X290=""),"",$O290-$X290)</f>
        <v/>
      </c>
      <c r="BJ290" s="33" t="str">
        <f aca="false">IF(OR($P290="",$Y290=""),"",$P290-$Y290)</f>
        <v/>
      </c>
      <c r="BK290" s="34" t="str">
        <f aca="false">IF(OR($AN290="",$AO290="",$AN290=0),"",$AO290/$AN290)</f>
        <v/>
      </c>
      <c r="BL290" s="34" t="str">
        <f aca="false">IF(OR($AU290="",$AV290="",$AU290=0),"",$AV290/$AU290)</f>
        <v/>
      </c>
      <c r="BM290" s="7" t="str">
        <f aca="false">IF($Z290="","",IF(AND($Z290="Y",$AB290&lt;&gt;"N",$AC290&lt;&gt;"Y"),"Y","N"))</f>
        <v/>
      </c>
      <c r="BN290" s="7" t="str">
        <f aca="false">IF($AH290="","",IF($Z290&lt;&gt;"Y","undefined",IF($AH290&lt;=1,"Y","N")))</f>
        <v/>
      </c>
      <c r="BO290" s="7" t="str">
        <f aca="false">IF($AH290="","",IF($Z290&lt;&gt;"Y","undefined",IF($AH290&lt;=10,"Y","N")))</f>
        <v/>
      </c>
      <c r="BP290" s="7" t="str">
        <f aca="false">IF($AH290="","",IF($Z290&lt;&gt;"Y","undefined",IF($AH290&lt;=100,"Y","N")))</f>
        <v/>
      </c>
    </row>
    <row r="291" customFormat="false" ht="15" hidden="false" customHeight="false" outlineLevel="0" collapsed="false">
      <c r="A291" s="7" t="str">
        <f aca="false">IF($B291="","",$B291&amp;"|"&amp;$C291&amp;"|"&amp;$F291)</f>
        <v/>
      </c>
      <c r="B291" s="5"/>
      <c r="C291" s="5"/>
      <c r="D291" s="5"/>
      <c r="E291" s="5"/>
      <c r="F291" s="5"/>
      <c r="G291" s="5"/>
      <c r="H291" s="5"/>
      <c r="I291" s="5"/>
      <c r="J291" s="20"/>
      <c r="K291" s="20"/>
      <c r="L291" s="28"/>
      <c r="M291" s="20"/>
      <c r="N291" s="28"/>
      <c r="O291" s="19"/>
      <c r="P291" s="19"/>
      <c r="Q291" s="5"/>
      <c r="R291" s="19"/>
      <c r="S291" s="5"/>
      <c r="T291" s="20"/>
      <c r="U291" s="20"/>
      <c r="V291" s="29"/>
      <c r="W291" s="28"/>
      <c r="X291" s="19"/>
      <c r="Y291" s="19"/>
      <c r="Z291" s="5"/>
      <c r="AA291" s="19"/>
      <c r="AB291" s="5"/>
      <c r="AC291" s="5"/>
      <c r="AD291" s="5"/>
      <c r="AE291" s="5"/>
      <c r="AF291" s="30"/>
      <c r="AG291" s="30"/>
      <c r="AH291" s="30"/>
      <c r="AI291" s="30"/>
      <c r="AJ291" s="30"/>
      <c r="AK291" s="30"/>
      <c r="AL291" s="28"/>
      <c r="AM291" s="5"/>
      <c r="AN291" s="19"/>
      <c r="AO291" s="19"/>
      <c r="AP291" s="5"/>
      <c r="AQ291" s="5"/>
      <c r="AR291" s="5"/>
      <c r="AS291" s="5"/>
      <c r="AT291" s="5"/>
      <c r="AU291" s="19"/>
      <c r="AV291" s="19"/>
      <c r="AW291" s="5"/>
      <c r="AX291" s="5"/>
      <c r="AY291" s="19"/>
      <c r="AZ291" s="30"/>
      <c r="BA291" s="5"/>
      <c r="BB291" s="31" t="str">
        <f aca="false">IF(OR($T291="",$M291=""),"",$T291-$M291)</f>
        <v/>
      </c>
      <c r="BC291" s="32" t="str">
        <f aca="false">IF(OR($T291="",$M291="",$M291=0),"",($T291-$M291)/$M291)</f>
        <v/>
      </c>
      <c r="BD291" s="31" t="str">
        <f aca="false">IF(OR($U291="",$M291=""),"",$U291-$M291)</f>
        <v/>
      </c>
      <c r="BE291" s="32" t="str">
        <f aca="false">IF(OR($U291="",$M291="",$M291=0),"",($U291-$M291)/$M291)</f>
        <v/>
      </c>
      <c r="BF291" s="32" t="str">
        <f aca="false">IF(OR($U291="",$J291="",$J291=0),"",($U291-$J291)/$J291)</f>
        <v/>
      </c>
      <c r="BG291" s="32" t="str">
        <f aca="false">IF(OR($M291="",$K291="",$K291=0),"",($M291-$K291)/$K291)</f>
        <v/>
      </c>
      <c r="BH291" s="32" t="str">
        <f aca="false">IF(OR($W291="",$N291="",$N291=0),"",($W291-$N291)/$N291)</f>
        <v/>
      </c>
      <c r="BI291" s="33" t="str">
        <f aca="false">IF(OR($O291="",$X291=""),"",$O291-$X291)</f>
        <v/>
      </c>
      <c r="BJ291" s="33" t="str">
        <f aca="false">IF(OR($P291="",$Y291=""),"",$P291-$Y291)</f>
        <v/>
      </c>
      <c r="BK291" s="34" t="str">
        <f aca="false">IF(OR($AN291="",$AO291="",$AN291=0),"",$AO291/$AN291)</f>
        <v/>
      </c>
      <c r="BL291" s="34" t="str">
        <f aca="false">IF(OR($AU291="",$AV291="",$AU291=0),"",$AV291/$AU291)</f>
        <v/>
      </c>
      <c r="BM291" s="7" t="str">
        <f aca="false">IF($Z291="","",IF(AND($Z291="Y",$AB291&lt;&gt;"N",$AC291&lt;&gt;"Y"),"Y","N"))</f>
        <v/>
      </c>
      <c r="BN291" s="7" t="str">
        <f aca="false">IF($AH291="","",IF($Z291&lt;&gt;"Y","undefined",IF($AH291&lt;=1,"Y","N")))</f>
        <v/>
      </c>
      <c r="BO291" s="7" t="str">
        <f aca="false">IF($AH291="","",IF($Z291&lt;&gt;"Y","undefined",IF($AH291&lt;=10,"Y","N")))</f>
        <v/>
      </c>
      <c r="BP291" s="7" t="str">
        <f aca="false">IF($AH291="","",IF($Z291&lt;&gt;"Y","undefined",IF($AH291&lt;=100,"Y","N")))</f>
        <v/>
      </c>
    </row>
    <row r="292" customFormat="false" ht="15" hidden="false" customHeight="false" outlineLevel="0" collapsed="false">
      <c r="A292" s="7" t="str">
        <f aca="false">IF($B292="","",$B292&amp;"|"&amp;$C292&amp;"|"&amp;$F292)</f>
        <v/>
      </c>
      <c r="B292" s="5"/>
      <c r="C292" s="5"/>
      <c r="D292" s="5"/>
      <c r="E292" s="5"/>
      <c r="F292" s="5"/>
      <c r="G292" s="5"/>
      <c r="H292" s="5"/>
      <c r="I292" s="5"/>
      <c r="J292" s="20"/>
      <c r="K292" s="20"/>
      <c r="L292" s="28"/>
      <c r="M292" s="20"/>
      <c r="N292" s="28"/>
      <c r="O292" s="19"/>
      <c r="P292" s="19"/>
      <c r="Q292" s="5"/>
      <c r="R292" s="19"/>
      <c r="S292" s="5"/>
      <c r="T292" s="20"/>
      <c r="U292" s="20"/>
      <c r="V292" s="29"/>
      <c r="W292" s="28"/>
      <c r="X292" s="19"/>
      <c r="Y292" s="19"/>
      <c r="Z292" s="5"/>
      <c r="AA292" s="19"/>
      <c r="AB292" s="5"/>
      <c r="AC292" s="5"/>
      <c r="AD292" s="5"/>
      <c r="AE292" s="5"/>
      <c r="AF292" s="30"/>
      <c r="AG292" s="30"/>
      <c r="AH292" s="30"/>
      <c r="AI292" s="30"/>
      <c r="AJ292" s="30"/>
      <c r="AK292" s="30"/>
      <c r="AL292" s="28"/>
      <c r="AM292" s="5"/>
      <c r="AN292" s="19"/>
      <c r="AO292" s="19"/>
      <c r="AP292" s="5"/>
      <c r="AQ292" s="5"/>
      <c r="AR292" s="5"/>
      <c r="AS292" s="5"/>
      <c r="AT292" s="5"/>
      <c r="AU292" s="19"/>
      <c r="AV292" s="19"/>
      <c r="AW292" s="5"/>
      <c r="AX292" s="5"/>
      <c r="AY292" s="19"/>
      <c r="AZ292" s="30"/>
      <c r="BA292" s="5"/>
      <c r="BB292" s="31" t="str">
        <f aca="false">IF(OR($T292="",$M292=""),"",$T292-$M292)</f>
        <v/>
      </c>
      <c r="BC292" s="32" t="str">
        <f aca="false">IF(OR($T292="",$M292="",$M292=0),"",($T292-$M292)/$M292)</f>
        <v/>
      </c>
      <c r="BD292" s="31" t="str">
        <f aca="false">IF(OR($U292="",$M292=""),"",$U292-$M292)</f>
        <v/>
      </c>
      <c r="BE292" s="32" t="str">
        <f aca="false">IF(OR($U292="",$M292="",$M292=0),"",($U292-$M292)/$M292)</f>
        <v/>
      </c>
      <c r="BF292" s="32" t="str">
        <f aca="false">IF(OR($U292="",$J292="",$J292=0),"",($U292-$J292)/$J292)</f>
        <v/>
      </c>
      <c r="BG292" s="32" t="str">
        <f aca="false">IF(OR($M292="",$K292="",$K292=0),"",($M292-$K292)/$K292)</f>
        <v/>
      </c>
      <c r="BH292" s="32" t="str">
        <f aca="false">IF(OR($W292="",$N292="",$N292=0),"",($W292-$N292)/$N292)</f>
        <v/>
      </c>
      <c r="BI292" s="33" t="str">
        <f aca="false">IF(OR($O292="",$X292=""),"",$O292-$X292)</f>
        <v/>
      </c>
      <c r="BJ292" s="33" t="str">
        <f aca="false">IF(OR($P292="",$Y292=""),"",$P292-$Y292)</f>
        <v/>
      </c>
      <c r="BK292" s="34" t="str">
        <f aca="false">IF(OR($AN292="",$AO292="",$AN292=0),"",$AO292/$AN292)</f>
        <v/>
      </c>
      <c r="BL292" s="34" t="str">
        <f aca="false">IF(OR($AU292="",$AV292="",$AU292=0),"",$AV292/$AU292)</f>
        <v/>
      </c>
      <c r="BM292" s="7" t="str">
        <f aca="false">IF($Z292="","",IF(AND($Z292="Y",$AB292&lt;&gt;"N",$AC292&lt;&gt;"Y"),"Y","N"))</f>
        <v/>
      </c>
      <c r="BN292" s="7" t="str">
        <f aca="false">IF($AH292="","",IF($Z292&lt;&gt;"Y","undefined",IF($AH292&lt;=1,"Y","N")))</f>
        <v/>
      </c>
      <c r="BO292" s="7" t="str">
        <f aca="false">IF($AH292="","",IF($Z292&lt;&gt;"Y","undefined",IF($AH292&lt;=10,"Y","N")))</f>
        <v/>
      </c>
      <c r="BP292" s="7" t="str">
        <f aca="false">IF($AH292="","",IF($Z292&lt;&gt;"Y","undefined",IF($AH292&lt;=100,"Y","N")))</f>
        <v/>
      </c>
    </row>
    <row r="293" customFormat="false" ht="15" hidden="false" customHeight="false" outlineLevel="0" collapsed="false">
      <c r="A293" s="7" t="str">
        <f aca="false">IF($B293="","",$B293&amp;"|"&amp;$C293&amp;"|"&amp;$F293)</f>
        <v/>
      </c>
      <c r="B293" s="5"/>
      <c r="C293" s="5"/>
      <c r="D293" s="5"/>
      <c r="E293" s="5"/>
      <c r="F293" s="5"/>
      <c r="G293" s="5"/>
      <c r="H293" s="5"/>
      <c r="I293" s="5"/>
      <c r="J293" s="20"/>
      <c r="K293" s="20"/>
      <c r="L293" s="28"/>
      <c r="M293" s="20"/>
      <c r="N293" s="28"/>
      <c r="O293" s="19"/>
      <c r="P293" s="19"/>
      <c r="Q293" s="5"/>
      <c r="R293" s="19"/>
      <c r="S293" s="5"/>
      <c r="T293" s="20"/>
      <c r="U293" s="20"/>
      <c r="V293" s="29"/>
      <c r="W293" s="28"/>
      <c r="X293" s="19"/>
      <c r="Y293" s="19"/>
      <c r="Z293" s="5"/>
      <c r="AA293" s="19"/>
      <c r="AB293" s="5"/>
      <c r="AC293" s="5"/>
      <c r="AD293" s="5"/>
      <c r="AE293" s="5"/>
      <c r="AF293" s="30"/>
      <c r="AG293" s="30"/>
      <c r="AH293" s="30"/>
      <c r="AI293" s="30"/>
      <c r="AJ293" s="30"/>
      <c r="AK293" s="30"/>
      <c r="AL293" s="28"/>
      <c r="AM293" s="5"/>
      <c r="AN293" s="19"/>
      <c r="AO293" s="19"/>
      <c r="AP293" s="5"/>
      <c r="AQ293" s="5"/>
      <c r="AR293" s="5"/>
      <c r="AS293" s="5"/>
      <c r="AT293" s="5"/>
      <c r="AU293" s="19"/>
      <c r="AV293" s="19"/>
      <c r="AW293" s="5"/>
      <c r="AX293" s="5"/>
      <c r="AY293" s="19"/>
      <c r="AZ293" s="30"/>
      <c r="BA293" s="5"/>
      <c r="BB293" s="31" t="str">
        <f aca="false">IF(OR($T293="",$M293=""),"",$T293-$M293)</f>
        <v/>
      </c>
      <c r="BC293" s="32" t="str">
        <f aca="false">IF(OR($T293="",$M293="",$M293=0),"",($T293-$M293)/$M293)</f>
        <v/>
      </c>
      <c r="BD293" s="31" t="str">
        <f aca="false">IF(OR($U293="",$M293=""),"",$U293-$M293)</f>
        <v/>
      </c>
      <c r="BE293" s="32" t="str">
        <f aca="false">IF(OR($U293="",$M293="",$M293=0),"",($U293-$M293)/$M293)</f>
        <v/>
      </c>
      <c r="BF293" s="32" t="str">
        <f aca="false">IF(OR($U293="",$J293="",$J293=0),"",($U293-$J293)/$J293)</f>
        <v/>
      </c>
      <c r="BG293" s="32" t="str">
        <f aca="false">IF(OR($M293="",$K293="",$K293=0),"",($M293-$K293)/$K293)</f>
        <v/>
      </c>
      <c r="BH293" s="32" t="str">
        <f aca="false">IF(OR($W293="",$N293="",$N293=0),"",($W293-$N293)/$N293)</f>
        <v/>
      </c>
      <c r="BI293" s="33" t="str">
        <f aca="false">IF(OR($O293="",$X293=""),"",$O293-$X293)</f>
        <v/>
      </c>
      <c r="BJ293" s="33" t="str">
        <f aca="false">IF(OR($P293="",$Y293=""),"",$P293-$Y293)</f>
        <v/>
      </c>
      <c r="BK293" s="34" t="str">
        <f aca="false">IF(OR($AN293="",$AO293="",$AN293=0),"",$AO293/$AN293)</f>
        <v/>
      </c>
      <c r="BL293" s="34" t="str">
        <f aca="false">IF(OR($AU293="",$AV293="",$AU293=0),"",$AV293/$AU293)</f>
        <v/>
      </c>
      <c r="BM293" s="7" t="str">
        <f aca="false">IF($Z293="","",IF(AND($Z293="Y",$AB293&lt;&gt;"N",$AC293&lt;&gt;"Y"),"Y","N"))</f>
        <v/>
      </c>
      <c r="BN293" s="7" t="str">
        <f aca="false">IF($AH293="","",IF($Z293&lt;&gt;"Y","undefined",IF($AH293&lt;=1,"Y","N")))</f>
        <v/>
      </c>
      <c r="BO293" s="7" t="str">
        <f aca="false">IF($AH293="","",IF($Z293&lt;&gt;"Y","undefined",IF($AH293&lt;=10,"Y","N")))</f>
        <v/>
      </c>
      <c r="BP293" s="7" t="str">
        <f aca="false">IF($AH293="","",IF($Z293&lt;&gt;"Y","undefined",IF($AH293&lt;=100,"Y","N")))</f>
        <v/>
      </c>
    </row>
    <row r="294" customFormat="false" ht="15" hidden="false" customHeight="false" outlineLevel="0" collapsed="false">
      <c r="A294" s="7" t="str">
        <f aca="false">IF($B294="","",$B294&amp;"|"&amp;$C294&amp;"|"&amp;$F294)</f>
        <v/>
      </c>
      <c r="B294" s="5"/>
      <c r="C294" s="5"/>
      <c r="D294" s="5"/>
      <c r="E294" s="5"/>
      <c r="F294" s="5"/>
      <c r="G294" s="5"/>
      <c r="H294" s="5"/>
      <c r="I294" s="5"/>
      <c r="J294" s="20"/>
      <c r="K294" s="20"/>
      <c r="L294" s="28"/>
      <c r="M294" s="20"/>
      <c r="N294" s="28"/>
      <c r="O294" s="19"/>
      <c r="P294" s="19"/>
      <c r="Q294" s="5"/>
      <c r="R294" s="19"/>
      <c r="S294" s="5"/>
      <c r="T294" s="20"/>
      <c r="U294" s="20"/>
      <c r="V294" s="29"/>
      <c r="W294" s="28"/>
      <c r="X294" s="19"/>
      <c r="Y294" s="19"/>
      <c r="Z294" s="5"/>
      <c r="AA294" s="19"/>
      <c r="AB294" s="5"/>
      <c r="AC294" s="5"/>
      <c r="AD294" s="5"/>
      <c r="AE294" s="5"/>
      <c r="AF294" s="30"/>
      <c r="AG294" s="30"/>
      <c r="AH294" s="30"/>
      <c r="AI294" s="30"/>
      <c r="AJ294" s="30"/>
      <c r="AK294" s="30"/>
      <c r="AL294" s="28"/>
      <c r="AM294" s="5"/>
      <c r="AN294" s="19"/>
      <c r="AO294" s="19"/>
      <c r="AP294" s="5"/>
      <c r="AQ294" s="5"/>
      <c r="AR294" s="5"/>
      <c r="AS294" s="5"/>
      <c r="AT294" s="5"/>
      <c r="AU294" s="19"/>
      <c r="AV294" s="19"/>
      <c r="AW294" s="5"/>
      <c r="AX294" s="5"/>
      <c r="AY294" s="19"/>
      <c r="AZ294" s="30"/>
      <c r="BA294" s="5"/>
      <c r="BB294" s="31" t="str">
        <f aca="false">IF(OR($T294="",$M294=""),"",$T294-$M294)</f>
        <v/>
      </c>
      <c r="BC294" s="32" t="str">
        <f aca="false">IF(OR($T294="",$M294="",$M294=0),"",($T294-$M294)/$M294)</f>
        <v/>
      </c>
      <c r="BD294" s="31" t="str">
        <f aca="false">IF(OR($U294="",$M294=""),"",$U294-$M294)</f>
        <v/>
      </c>
      <c r="BE294" s="32" t="str">
        <f aca="false">IF(OR($U294="",$M294="",$M294=0),"",($U294-$M294)/$M294)</f>
        <v/>
      </c>
      <c r="BF294" s="32" t="str">
        <f aca="false">IF(OR($U294="",$J294="",$J294=0),"",($U294-$J294)/$J294)</f>
        <v/>
      </c>
      <c r="BG294" s="32" t="str">
        <f aca="false">IF(OR($M294="",$K294="",$K294=0),"",($M294-$K294)/$K294)</f>
        <v/>
      </c>
      <c r="BH294" s="32" t="str">
        <f aca="false">IF(OR($W294="",$N294="",$N294=0),"",($W294-$N294)/$N294)</f>
        <v/>
      </c>
      <c r="BI294" s="33" t="str">
        <f aca="false">IF(OR($O294="",$X294=""),"",$O294-$X294)</f>
        <v/>
      </c>
      <c r="BJ294" s="33" t="str">
        <f aca="false">IF(OR($P294="",$Y294=""),"",$P294-$Y294)</f>
        <v/>
      </c>
      <c r="BK294" s="34" t="str">
        <f aca="false">IF(OR($AN294="",$AO294="",$AN294=0),"",$AO294/$AN294)</f>
        <v/>
      </c>
      <c r="BL294" s="34" t="str">
        <f aca="false">IF(OR($AU294="",$AV294="",$AU294=0),"",$AV294/$AU294)</f>
        <v/>
      </c>
      <c r="BM294" s="7" t="str">
        <f aca="false">IF($Z294="","",IF(AND($Z294="Y",$AB294&lt;&gt;"N",$AC294&lt;&gt;"Y"),"Y","N"))</f>
        <v/>
      </c>
      <c r="BN294" s="7" t="str">
        <f aca="false">IF($AH294="","",IF($Z294&lt;&gt;"Y","undefined",IF($AH294&lt;=1,"Y","N")))</f>
        <v/>
      </c>
      <c r="BO294" s="7" t="str">
        <f aca="false">IF($AH294="","",IF($Z294&lt;&gt;"Y","undefined",IF($AH294&lt;=10,"Y","N")))</f>
        <v/>
      </c>
      <c r="BP294" s="7" t="str">
        <f aca="false">IF($AH294="","",IF($Z294&lt;&gt;"Y","undefined",IF($AH294&lt;=100,"Y","N")))</f>
        <v/>
      </c>
    </row>
    <row r="295" customFormat="false" ht="15" hidden="false" customHeight="false" outlineLevel="0" collapsed="false">
      <c r="A295" s="7" t="str">
        <f aca="false">IF($B295="","",$B295&amp;"|"&amp;$C295&amp;"|"&amp;$F295)</f>
        <v/>
      </c>
      <c r="B295" s="5"/>
      <c r="C295" s="5"/>
      <c r="D295" s="5"/>
      <c r="E295" s="5"/>
      <c r="F295" s="5"/>
      <c r="G295" s="5"/>
      <c r="H295" s="5"/>
      <c r="I295" s="5"/>
      <c r="J295" s="20"/>
      <c r="K295" s="20"/>
      <c r="L295" s="28"/>
      <c r="M295" s="20"/>
      <c r="N295" s="28"/>
      <c r="O295" s="19"/>
      <c r="P295" s="19"/>
      <c r="Q295" s="5"/>
      <c r="R295" s="19"/>
      <c r="S295" s="5"/>
      <c r="T295" s="20"/>
      <c r="U295" s="20"/>
      <c r="V295" s="29"/>
      <c r="W295" s="28"/>
      <c r="X295" s="19"/>
      <c r="Y295" s="19"/>
      <c r="Z295" s="5"/>
      <c r="AA295" s="19"/>
      <c r="AB295" s="5"/>
      <c r="AC295" s="5"/>
      <c r="AD295" s="5"/>
      <c r="AE295" s="5"/>
      <c r="AF295" s="30"/>
      <c r="AG295" s="30"/>
      <c r="AH295" s="30"/>
      <c r="AI295" s="30"/>
      <c r="AJ295" s="30"/>
      <c r="AK295" s="30"/>
      <c r="AL295" s="28"/>
      <c r="AM295" s="5"/>
      <c r="AN295" s="19"/>
      <c r="AO295" s="19"/>
      <c r="AP295" s="5"/>
      <c r="AQ295" s="5"/>
      <c r="AR295" s="5"/>
      <c r="AS295" s="5"/>
      <c r="AT295" s="5"/>
      <c r="AU295" s="19"/>
      <c r="AV295" s="19"/>
      <c r="AW295" s="5"/>
      <c r="AX295" s="5"/>
      <c r="AY295" s="19"/>
      <c r="AZ295" s="30"/>
      <c r="BA295" s="5"/>
      <c r="BB295" s="31" t="str">
        <f aca="false">IF(OR($T295="",$M295=""),"",$T295-$M295)</f>
        <v/>
      </c>
      <c r="BC295" s="32" t="str">
        <f aca="false">IF(OR($T295="",$M295="",$M295=0),"",($T295-$M295)/$M295)</f>
        <v/>
      </c>
      <c r="BD295" s="31" t="str">
        <f aca="false">IF(OR($U295="",$M295=""),"",$U295-$M295)</f>
        <v/>
      </c>
      <c r="BE295" s="32" t="str">
        <f aca="false">IF(OR($U295="",$M295="",$M295=0),"",($U295-$M295)/$M295)</f>
        <v/>
      </c>
      <c r="BF295" s="32" t="str">
        <f aca="false">IF(OR($U295="",$J295="",$J295=0),"",($U295-$J295)/$J295)</f>
        <v/>
      </c>
      <c r="BG295" s="32" t="str">
        <f aca="false">IF(OR($M295="",$K295="",$K295=0),"",($M295-$K295)/$K295)</f>
        <v/>
      </c>
      <c r="BH295" s="32" t="str">
        <f aca="false">IF(OR($W295="",$N295="",$N295=0),"",($W295-$N295)/$N295)</f>
        <v/>
      </c>
      <c r="BI295" s="33" t="str">
        <f aca="false">IF(OR($O295="",$X295=""),"",$O295-$X295)</f>
        <v/>
      </c>
      <c r="BJ295" s="33" t="str">
        <f aca="false">IF(OR($P295="",$Y295=""),"",$P295-$Y295)</f>
        <v/>
      </c>
      <c r="BK295" s="34" t="str">
        <f aca="false">IF(OR($AN295="",$AO295="",$AN295=0),"",$AO295/$AN295)</f>
        <v/>
      </c>
      <c r="BL295" s="34" t="str">
        <f aca="false">IF(OR($AU295="",$AV295="",$AU295=0),"",$AV295/$AU295)</f>
        <v/>
      </c>
      <c r="BM295" s="7" t="str">
        <f aca="false">IF($Z295="","",IF(AND($Z295="Y",$AB295&lt;&gt;"N",$AC295&lt;&gt;"Y"),"Y","N"))</f>
        <v/>
      </c>
      <c r="BN295" s="7" t="str">
        <f aca="false">IF($AH295="","",IF($Z295&lt;&gt;"Y","undefined",IF($AH295&lt;=1,"Y","N")))</f>
        <v/>
      </c>
      <c r="BO295" s="7" t="str">
        <f aca="false">IF($AH295="","",IF($Z295&lt;&gt;"Y","undefined",IF($AH295&lt;=10,"Y","N")))</f>
        <v/>
      </c>
      <c r="BP295" s="7" t="str">
        <f aca="false">IF($AH295="","",IF($Z295&lt;&gt;"Y","undefined",IF($AH295&lt;=100,"Y","N")))</f>
        <v/>
      </c>
    </row>
    <row r="296" customFormat="false" ht="15" hidden="false" customHeight="false" outlineLevel="0" collapsed="false">
      <c r="A296" s="7" t="str">
        <f aca="false">IF($B296="","",$B296&amp;"|"&amp;$C296&amp;"|"&amp;$F296)</f>
        <v/>
      </c>
      <c r="B296" s="5"/>
      <c r="C296" s="5"/>
      <c r="D296" s="5"/>
      <c r="E296" s="5"/>
      <c r="F296" s="5"/>
      <c r="G296" s="5"/>
      <c r="H296" s="5"/>
      <c r="I296" s="5"/>
      <c r="J296" s="20"/>
      <c r="K296" s="20"/>
      <c r="L296" s="28"/>
      <c r="M296" s="20"/>
      <c r="N296" s="28"/>
      <c r="O296" s="19"/>
      <c r="P296" s="19"/>
      <c r="Q296" s="5"/>
      <c r="R296" s="19"/>
      <c r="S296" s="5"/>
      <c r="T296" s="20"/>
      <c r="U296" s="20"/>
      <c r="V296" s="29"/>
      <c r="W296" s="28"/>
      <c r="X296" s="19"/>
      <c r="Y296" s="19"/>
      <c r="Z296" s="5"/>
      <c r="AA296" s="19"/>
      <c r="AB296" s="5"/>
      <c r="AC296" s="5"/>
      <c r="AD296" s="5"/>
      <c r="AE296" s="5"/>
      <c r="AF296" s="30"/>
      <c r="AG296" s="30"/>
      <c r="AH296" s="30"/>
      <c r="AI296" s="30"/>
      <c r="AJ296" s="30"/>
      <c r="AK296" s="30"/>
      <c r="AL296" s="28"/>
      <c r="AM296" s="5"/>
      <c r="AN296" s="19"/>
      <c r="AO296" s="19"/>
      <c r="AP296" s="5"/>
      <c r="AQ296" s="5"/>
      <c r="AR296" s="5"/>
      <c r="AS296" s="5"/>
      <c r="AT296" s="5"/>
      <c r="AU296" s="19"/>
      <c r="AV296" s="19"/>
      <c r="AW296" s="5"/>
      <c r="AX296" s="5"/>
      <c r="AY296" s="19"/>
      <c r="AZ296" s="30"/>
      <c r="BA296" s="5"/>
      <c r="BB296" s="31" t="str">
        <f aca="false">IF(OR($T296="",$M296=""),"",$T296-$M296)</f>
        <v/>
      </c>
      <c r="BC296" s="32" t="str">
        <f aca="false">IF(OR($T296="",$M296="",$M296=0),"",($T296-$M296)/$M296)</f>
        <v/>
      </c>
      <c r="BD296" s="31" t="str">
        <f aca="false">IF(OR($U296="",$M296=""),"",$U296-$M296)</f>
        <v/>
      </c>
      <c r="BE296" s="32" t="str">
        <f aca="false">IF(OR($U296="",$M296="",$M296=0),"",($U296-$M296)/$M296)</f>
        <v/>
      </c>
      <c r="BF296" s="32" t="str">
        <f aca="false">IF(OR($U296="",$J296="",$J296=0),"",($U296-$J296)/$J296)</f>
        <v/>
      </c>
      <c r="BG296" s="32" t="str">
        <f aca="false">IF(OR($M296="",$K296="",$K296=0),"",($M296-$K296)/$K296)</f>
        <v/>
      </c>
      <c r="BH296" s="32" t="str">
        <f aca="false">IF(OR($W296="",$N296="",$N296=0),"",($W296-$N296)/$N296)</f>
        <v/>
      </c>
      <c r="BI296" s="33" t="str">
        <f aca="false">IF(OR($O296="",$X296=""),"",$O296-$X296)</f>
        <v/>
      </c>
      <c r="BJ296" s="33" t="str">
        <f aca="false">IF(OR($P296="",$Y296=""),"",$P296-$Y296)</f>
        <v/>
      </c>
      <c r="BK296" s="34" t="str">
        <f aca="false">IF(OR($AN296="",$AO296="",$AN296=0),"",$AO296/$AN296)</f>
        <v/>
      </c>
      <c r="BL296" s="34" t="str">
        <f aca="false">IF(OR($AU296="",$AV296="",$AU296=0),"",$AV296/$AU296)</f>
        <v/>
      </c>
      <c r="BM296" s="7" t="str">
        <f aca="false">IF($Z296="","",IF(AND($Z296="Y",$AB296&lt;&gt;"N",$AC296&lt;&gt;"Y"),"Y","N"))</f>
        <v/>
      </c>
      <c r="BN296" s="7" t="str">
        <f aca="false">IF($AH296="","",IF($Z296&lt;&gt;"Y","undefined",IF($AH296&lt;=1,"Y","N")))</f>
        <v/>
      </c>
      <c r="BO296" s="7" t="str">
        <f aca="false">IF($AH296="","",IF($Z296&lt;&gt;"Y","undefined",IF($AH296&lt;=10,"Y","N")))</f>
        <v/>
      </c>
      <c r="BP296" s="7" t="str">
        <f aca="false">IF($AH296="","",IF($Z296&lt;&gt;"Y","undefined",IF($AH296&lt;=100,"Y","N")))</f>
        <v/>
      </c>
    </row>
    <row r="297" customFormat="false" ht="15" hidden="false" customHeight="false" outlineLevel="0" collapsed="false">
      <c r="A297" s="7" t="str">
        <f aca="false">IF($B297="","",$B297&amp;"|"&amp;$C297&amp;"|"&amp;$F297)</f>
        <v/>
      </c>
      <c r="B297" s="5"/>
      <c r="C297" s="5"/>
      <c r="D297" s="5"/>
      <c r="E297" s="5"/>
      <c r="F297" s="5"/>
      <c r="G297" s="5"/>
      <c r="H297" s="5"/>
      <c r="I297" s="5"/>
      <c r="J297" s="20"/>
      <c r="K297" s="20"/>
      <c r="L297" s="28"/>
      <c r="M297" s="20"/>
      <c r="N297" s="28"/>
      <c r="O297" s="19"/>
      <c r="P297" s="19"/>
      <c r="Q297" s="5"/>
      <c r="R297" s="19"/>
      <c r="S297" s="5"/>
      <c r="T297" s="20"/>
      <c r="U297" s="20"/>
      <c r="V297" s="29"/>
      <c r="W297" s="28"/>
      <c r="X297" s="19"/>
      <c r="Y297" s="19"/>
      <c r="Z297" s="5"/>
      <c r="AA297" s="19"/>
      <c r="AB297" s="5"/>
      <c r="AC297" s="5"/>
      <c r="AD297" s="5"/>
      <c r="AE297" s="5"/>
      <c r="AF297" s="30"/>
      <c r="AG297" s="30"/>
      <c r="AH297" s="30"/>
      <c r="AI297" s="30"/>
      <c r="AJ297" s="30"/>
      <c r="AK297" s="30"/>
      <c r="AL297" s="28"/>
      <c r="AM297" s="5"/>
      <c r="AN297" s="19"/>
      <c r="AO297" s="19"/>
      <c r="AP297" s="5"/>
      <c r="AQ297" s="5"/>
      <c r="AR297" s="5"/>
      <c r="AS297" s="5"/>
      <c r="AT297" s="5"/>
      <c r="AU297" s="19"/>
      <c r="AV297" s="19"/>
      <c r="AW297" s="5"/>
      <c r="AX297" s="5"/>
      <c r="AY297" s="19"/>
      <c r="AZ297" s="30"/>
      <c r="BA297" s="5"/>
      <c r="BB297" s="31" t="str">
        <f aca="false">IF(OR($T297="",$M297=""),"",$T297-$M297)</f>
        <v/>
      </c>
      <c r="BC297" s="32" t="str">
        <f aca="false">IF(OR($T297="",$M297="",$M297=0),"",($T297-$M297)/$M297)</f>
        <v/>
      </c>
      <c r="BD297" s="31" t="str">
        <f aca="false">IF(OR($U297="",$M297=""),"",$U297-$M297)</f>
        <v/>
      </c>
      <c r="BE297" s="32" t="str">
        <f aca="false">IF(OR($U297="",$M297="",$M297=0),"",($U297-$M297)/$M297)</f>
        <v/>
      </c>
      <c r="BF297" s="32" t="str">
        <f aca="false">IF(OR($U297="",$J297="",$J297=0),"",($U297-$J297)/$J297)</f>
        <v/>
      </c>
      <c r="BG297" s="32" t="str">
        <f aca="false">IF(OR($M297="",$K297="",$K297=0),"",($M297-$K297)/$K297)</f>
        <v/>
      </c>
      <c r="BH297" s="32" t="str">
        <f aca="false">IF(OR($W297="",$N297="",$N297=0),"",($W297-$N297)/$N297)</f>
        <v/>
      </c>
      <c r="BI297" s="33" t="str">
        <f aca="false">IF(OR($O297="",$X297=""),"",$O297-$X297)</f>
        <v/>
      </c>
      <c r="BJ297" s="33" t="str">
        <f aca="false">IF(OR($P297="",$Y297=""),"",$P297-$Y297)</f>
        <v/>
      </c>
      <c r="BK297" s="34" t="str">
        <f aca="false">IF(OR($AN297="",$AO297="",$AN297=0),"",$AO297/$AN297)</f>
        <v/>
      </c>
      <c r="BL297" s="34" t="str">
        <f aca="false">IF(OR($AU297="",$AV297="",$AU297=0),"",$AV297/$AU297)</f>
        <v/>
      </c>
      <c r="BM297" s="7" t="str">
        <f aca="false">IF($Z297="","",IF(AND($Z297="Y",$AB297&lt;&gt;"N",$AC297&lt;&gt;"Y"),"Y","N"))</f>
        <v/>
      </c>
      <c r="BN297" s="7" t="str">
        <f aca="false">IF($AH297="","",IF($Z297&lt;&gt;"Y","undefined",IF($AH297&lt;=1,"Y","N")))</f>
        <v/>
      </c>
      <c r="BO297" s="7" t="str">
        <f aca="false">IF($AH297="","",IF($Z297&lt;&gt;"Y","undefined",IF($AH297&lt;=10,"Y","N")))</f>
        <v/>
      </c>
      <c r="BP297" s="7" t="str">
        <f aca="false">IF($AH297="","",IF($Z297&lt;&gt;"Y","undefined",IF($AH297&lt;=100,"Y","N")))</f>
        <v/>
      </c>
    </row>
    <row r="298" customFormat="false" ht="15" hidden="false" customHeight="false" outlineLevel="0" collapsed="false">
      <c r="A298" s="7" t="str">
        <f aca="false">IF($B298="","",$B298&amp;"|"&amp;$C298&amp;"|"&amp;$F298)</f>
        <v/>
      </c>
      <c r="B298" s="5"/>
      <c r="C298" s="5"/>
      <c r="D298" s="5"/>
      <c r="E298" s="5"/>
      <c r="F298" s="5"/>
      <c r="G298" s="5"/>
      <c r="H298" s="5"/>
      <c r="I298" s="5"/>
      <c r="J298" s="20"/>
      <c r="K298" s="20"/>
      <c r="L298" s="28"/>
      <c r="M298" s="20"/>
      <c r="N298" s="28"/>
      <c r="O298" s="19"/>
      <c r="P298" s="19"/>
      <c r="Q298" s="5"/>
      <c r="R298" s="19"/>
      <c r="S298" s="5"/>
      <c r="T298" s="20"/>
      <c r="U298" s="20"/>
      <c r="V298" s="29"/>
      <c r="W298" s="28"/>
      <c r="X298" s="19"/>
      <c r="Y298" s="19"/>
      <c r="Z298" s="5"/>
      <c r="AA298" s="19"/>
      <c r="AB298" s="5"/>
      <c r="AC298" s="5"/>
      <c r="AD298" s="5"/>
      <c r="AE298" s="5"/>
      <c r="AF298" s="30"/>
      <c r="AG298" s="30"/>
      <c r="AH298" s="30"/>
      <c r="AI298" s="30"/>
      <c r="AJ298" s="30"/>
      <c r="AK298" s="30"/>
      <c r="AL298" s="28"/>
      <c r="AM298" s="5"/>
      <c r="AN298" s="19"/>
      <c r="AO298" s="19"/>
      <c r="AP298" s="5"/>
      <c r="AQ298" s="5"/>
      <c r="AR298" s="5"/>
      <c r="AS298" s="5"/>
      <c r="AT298" s="5"/>
      <c r="AU298" s="19"/>
      <c r="AV298" s="19"/>
      <c r="AW298" s="5"/>
      <c r="AX298" s="5"/>
      <c r="AY298" s="19"/>
      <c r="AZ298" s="30"/>
      <c r="BA298" s="5"/>
      <c r="BB298" s="31" t="str">
        <f aca="false">IF(OR($T298="",$M298=""),"",$T298-$M298)</f>
        <v/>
      </c>
      <c r="BC298" s="32" t="str">
        <f aca="false">IF(OR($T298="",$M298="",$M298=0),"",($T298-$M298)/$M298)</f>
        <v/>
      </c>
      <c r="BD298" s="31" t="str">
        <f aca="false">IF(OR($U298="",$M298=""),"",$U298-$M298)</f>
        <v/>
      </c>
      <c r="BE298" s="32" t="str">
        <f aca="false">IF(OR($U298="",$M298="",$M298=0),"",($U298-$M298)/$M298)</f>
        <v/>
      </c>
      <c r="BF298" s="32" t="str">
        <f aca="false">IF(OR($U298="",$J298="",$J298=0),"",($U298-$J298)/$J298)</f>
        <v/>
      </c>
      <c r="BG298" s="32" t="str">
        <f aca="false">IF(OR($M298="",$K298="",$K298=0),"",($M298-$K298)/$K298)</f>
        <v/>
      </c>
      <c r="BH298" s="32" t="str">
        <f aca="false">IF(OR($W298="",$N298="",$N298=0),"",($W298-$N298)/$N298)</f>
        <v/>
      </c>
      <c r="BI298" s="33" t="str">
        <f aca="false">IF(OR($O298="",$X298=""),"",$O298-$X298)</f>
        <v/>
      </c>
      <c r="BJ298" s="33" t="str">
        <f aca="false">IF(OR($P298="",$Y298=""),"",$P298-$Y298)</f>
        <v/>
      </c>
      <c r="BK298" s="34" t="str">
        <f aca="false">IF(OR($AN298="",$AO298="",$AN298=0),"",$AO298/$AN298)</f>
        <v/>
      </c>
      <c r="BL298" s="34" t="str">
        <f aca="false">IF(OR($AU298="",$AV298="",$AU298=0),"",$AV298/$AU298)</f>
        <v/>
      </c>
      <c r="BM298" s="7" t="str">
        <f aca="false">IF($Z298="","",IF(AND($Z298="Y",$AB298&lt;&gt;"N",$AC298&lt;&gt;"Y"),"Y","N"))</f>
        <v/>
      </c>
      <c r="BN298" s="7" t="str">
        <f aca="false">IF($AH298="","",IF($Z298&lt;&gt;"Y","undefined",IF($AH298&lt;=1,"Y","N")))</f>
        <v/>
      </c>
      <c r="BO298" s="7" t="str">
        <f aca="false">IF($AH298="","",IF($Z298&lt;&gt;"Y","undefined",IF($AH298&lt;=10,"Y","N")))</f>
        <v/>
      </c>
      <c r="BP298" s="7" t="str">
        <f aca="false">IF($AH298="","",IF($Z298&lt;&gt;"Y","undefined",IF($AH298&lt;=100,"Y","N")))</f>
        <v/>
      </c>
    </row>
    <row r="299" customFormat="false" ht="15" hidden="false" customHeight="false" outlineLevel="0" collapsed="false">
      <c r="A299" s="7" t="str">
        <f aca="false">IF($B299="","",$B299&amp;"|"&amp;$C299&amp;"|"&amp;$F299)</f>
        <v/>
      </c>
      <c r="B299" s="5"/>
      <c r="C299" s="5"/>
      <c r="D299" s="5"/>
      <c r="E299" s="5"/>
      <c r="F299" s="5"/>
      <c r="G299" s="5"/>
      <c r="H299" s="5"/>
      <c r="I299" s="5"/>
      <c r="J299" s="20"/>
      <c r="K299" s="20"/>
      <c r="L299" s="28"/>
      <c r="M299" s="20"/>
      <c r="N299" s="28"/>
      <c r="O299" s="19"/>
      <c r="P299" s="19"/>
      <c r="Q299" s="5"/>
      <c r="R299" s="19"/>
      <c r="S299" s="5"/>
      <c r="T299" s="20"/>
      <c r="U299" s="20"/>
      <c r="V299" s="29"/>
      <c r="W299" s="28"/>
      <c r="X299" s="19"/>
      <c r="Y299" s="19"/>
      <c r="Z299" s="5"/>
      <c r="AA299" s="19"/>
      <c r="AB299" s="5"/>
      <c r="AC299" s="5"/>
      <c r="AD299" s="5"/>
      <c r="AE299" s="5"/>
      <c r="AF299" s="30"/>
      <c r="AG299" s="30"/>
      <c r="AH299" s="30"/>
      <c r="AI299" s="30"/>
      <c r="AJ299" s="30"/>
      <c r="AK299" s="30"/>
      <c r="AL299" s="28"/>
      <c r="AM299" s="5"/>
      <c r="AN299" s="19"/>
      <c r="AO299" s="19"/>
      <c r="AP299" s="5"/>
      <c r="AQ299" s="5"/>
      <c r="AR299" s="5"/>
      <c r="AS299" s="5"/>
      <c r="AT299" s="5"/>
      <c r="AU299" s="19"/>
      <c r="AV299" s="19"/>
      <c r="AW299" s="5"/>
      <c r="AX299" s="5"/>
      <c r="AY299" s="19"/>
      <c r="AZ299" s="30"/>
      <c r="BA299" s="5"/>
      <c r="BB299" s="31" t="str">
        <f aca="false">IF(OR($T299="",$M299=""),"",$T299-$M299)</f>
        <v/>
      </c>
      <c r="BC299" s="32" t="str">
        <f aca="false">IF(OR($T299="",$M299="",$M299=0),"",($T299-$M299)/$M299)</f>
        <v/>
      </c>
      <c r="BD299" s="31" t="str">
        <f aca="false">IF(OR($U299="",$M299=""),"",$U299-$M299)</f>
        <v/>
      </c>
      <c r="BE299" s="32" t="str">
        <f aca="false">IF(OR($U299="",$M299="",$M299=0),"",($U299-$M299)/$M299)</f>
        <v/>
      </c>
      <c r="BF299" s="32" t="str">
        <f aca="false">IF(OR($U299="",$J299="",$J299=0),"",($U299-$J299)/$J299)</f>
        <v/>
      </c>
      <c r="BG299" s="32" t="str">
        <f aca="false">IF(OR($M299="",$K299="",$K299=0),"",($M299-$K299)/$K299)</f>
        <v/>
      </c>
      <c r="BH299" s="32" t="str">
        <f aca="false">IF(OR($W299="",$N299="",$N299=0),"",($W299-$N299)/$N299)</f>
        <v/>
      </c>
      <c r="BI299" s="33" t="str">
        <f aca="false">IF(OR($O299="",$X299=""),"",$O299-$X299)</f>
        <v/>
      </c>
      <c r="BJ299" s="33" t="str">
        <f aca="false">IF(OR($P299="",$Y299=""),"",$P299-$Y299)</f>
        <v/>
      </c>
      <c r="BK299" s="34" t="str">
        <f aca="false">IF(OR($AN299="",$AO299="",$AN299=0),"",$AO299/$AN299)</f>
        <v/>
      </c>
      <c r="BL299" s="34" t="str">
        <f aca="false">IF(OR($AU299="",$AV299="",$AU299=0),"",$AV299/$AU299)</f>
        <v/>
      </c>
      <c r="BM299" s="7" t="str">
        <f aca="false">IF($Z299="","",IF(AND($Z299="Y",$AB299&lt;&gt;"N",$AC299&lt;&gt;"Y"),"Y","N"))</f>
        <v/>
      </c>
      <c r="BN299" s="7" t="str">
        <f aca="false">IF($AH299="","",IF($Z299&lt;&gt;"Y","undefined",IF($AH299&lt;=1,"Y","N")))</f>
        <v/>
      </c>
      <c r="BO299" s="7" t="str">
        <f aca="false">IF($AH299="","",IF($Z299&lt;&gt;"Y","undefined",IF($AH299&lt;=10,"Y","N")))</f>
        <v/>
      </c>
      <c r="BP299" s="7" t="str">
        <f aca="false">IF($AH299="","",IF($Z299&lt;&gt;"Y","undefined",IF($AH299&lt;=100,"Y","N")))</f>
        <v/>
      </c>
    </row>
    <row r="300" customFormat="false" ht="15" hidden="false" customHeight="false" outlineLevel="0" collapsed="false">
      <c r="A300" s="7" t="str">
        <f aca="false">IF($B300="","",$B300&amp;"|"&amp;$C300&amp;"|"&amp;$F300)</f>
        <v/>
      </c>
      <c r="B300" s="5"/>
      <c r="C300" s="5"/>
      <c r="D300" s="5"/>
      <c r="E300" s="5"/>
      <c r="F300" s="5"/>
      <c r="G300" s="5"/>
      <c r="H300" s="5"/>
      <c r="I300" s="5"/>
      <c r="J300" s="20"/>
      <c r="K300" s="20"/>
      <c r="L300" s="28"/>
      <c r="M300" s="20"/>
      <c r="N300" s="28"/>
      <c r="O300" s="19"/>
      <c r="P300" s="19"/>
      <c r="Q300" s="5"/>
      <c r="R300" s="19"/>
      <c r="S300" s="5"/>
      <c r="T300" s="20"/>
      <c r="U300" s="20"/>
      <c r="V300" s="29"/>
      <c r="W300" s="28"/>
      <c r="X300" s="19"/>
      <c r="Y300" s="19"/>
      <c r="Z300" s="5"/>
      <c r="AA300" s="19"/>
      <c r="AB300" s="5"/>
      <c r="AC300" s="5"/>
      <c r="AD300" s="5"/>
      <c r="AE300" s="5"/>
      <c r="AF300" s="30"/>
      <c r="AG300" s="30"/>
      <c r="AH300" s="30"/>
      <c r="AI300" s="30"/>
      <c r="AJ300" s="30"/>
      <c r="AK300" s="30"/>
      <c r="AL300" s="28"/>
      <c r="AM300" s="5"/>
      <c r="AN300" s="19"/>
      <c r="AO300" s="19"/>
      <c r="AP300" s="5"/>
      <c r="AQ300" s="5"/>
      <c r="AR300" s="5"/>
      <c r="AS300" s="5"/>
      <c r="AT300" s="5"/>
      <c r="AU300" s="19"/>
      <c r="AV300" s="19"/>
      <c r="AW300" s="5"/>
      <c r="AX300" s="5"/>
      <c r="AY300" s="19"/>
      <c r="AZ300" s="30"/>
      <c r="BA300" s="5"/>
      <c r="BB300" s="31" t="str">
        <f aca="false">IF(OR($T300="",$M300=""),"",$T300-$M300)</f>
        <v/>
      </c>
      <c r="BC300" s="32" t="str">
        <f aca="false">IF(OR($T300="",$M300="",$M300=0),"",($T300-$M300)/$M300)</f>
        <v/>
      </c>
      <c r="BD300" s="31" t="str">
        <f aca="false">IF(OR($U300="",$M300=""),"",$U300-$M300)</f>
        <v/>
      </c>
      <c r="BE300" s="32" t="str">
        <f aca="false">IF(OR($U300="",$M300="",$M300=0),"",($U300-$M300)/$M300)</f>
        <v/>
      </c>
      <c r="BF300" s="32" t="str">
        <f aca="false">IF(OR($U300="",$J300="",$J300=0),"",($U300-$J300)/$J300)</f>
        <v/>
      </c>
      <c r="BG300" s="32" t="str">
        <f aca="false">IF(OR($M300="",$K300="",$K300=0),"",($M300-$K300)/$K300)</f>
        <v/>
      </c>
      <c r="BH300" s="32" t="str">
        <f aca="false">IF(OR($W300="",$N300="",$N300=0),"",($W300-$N300)/$N300)</f>
        <v/>
      </c>
      <c r="BI300" s="33" t="str">
        <f aca="false">IF(OR($O300="",$X300=""),"",$O300-$X300)</f>
        <v/>
      </c>
      <c r="BJ300" s="33" t="str">
        <f aca="false">IF(OR($P300="",$Y300=""),"",$P300-$Y300)</f>
        <v/>
      </c>
      <c r="BK300" s="34" t="str">
        <f aca="false">IF(OR($AN300="",$AO300="",$AN300=0),"",$AO300/$AN300)</f>
        <v/>
      </c>
      <c r="BL300" s="34" t="str">
        <f aca="false">IF(OR($AU300="",$AV300="",$AU300=0),"",$AV300/$AU300)</f>
        <v/>
      </c>
      <c r="BM300" s="7" t="str">
        <f aca="false">IF($Z300="","",IF(AND($Z300="Y",$AB300&lt;&gt;"N",$AC300&lt;&gt;"Y"),"Y","N"))</f>
        <v/>
      </c>
      <c r="BN300" s="7" t="str">
        <f aca="false">IF($AH300="","",IF($Z300&lt;&gt;"Y","undefined",IF($AH300&lt;=1,"Y","N")))</f>
        <v/>
      </c>
      <c r="BO300" s="7" t="str">
        <f aca="false">IF($AH300="","",IF($Z300&lt;&gt;"Y","undefined",IF($AH300&lt;=10,"Y","N")))</f>
        <v/>
      </c>
      <c r="BP300" s="7" t="str">
        <f aca="false">IF($AH300="","",IF($Z300&lt;&gt;"Y","undefined",IF($AH300&lt;=100,"Y","N")))</f>
        <v/>
      </c>
    </row>
    <row r="301" customFormat="false" ht="15" hidden="false" customHeight="false" outlineLevel="0" collapsed="false">
      <c r="A301" s="7" t="str">
        <f aca="false">IF($B301="","",$B301&amp;"|"&amp;$C301&amp;"|"&amp;$F301)</f>
        <v/>
      </c>
      <c r="B301" s="5"/>
      <c r="C301" s="5"/>
      <c r="D301" s="5"/>
      <c r="E301" s="5"/>
      <c r="F301" s="5"/>
      <c r="G301" s="5"/>
      <c r="H301" s="5"/>
      <c r="I301" s="5"/>
      <c r="J301" s="20"/>
      <c r="K301" s="20"/>
      <c r="L301" s="28"/>
      <c r="M301" s="20"/>
      <c r="N301" s="28"/>
      <c r="O301" s="19"/>
      <c r="P301" s="19"/>
      <c r="Q301" s="5"/>
      <c r="R301" s="19"/>
      <c r="S301" s="5"/>
      <c r="T301" s="20"/>
      <c r="U301" s="20"/>
      <c r="V301" s="29"/>
      <c r="W301" s="28"/>
      <c r="X301" s="19"/>
      <c r="Y301" s="19"/>
      <c r="Z301" s="5"/>
      <c r="AA301" s="19"/>
      <c r="AB301" s="5"/>
      <c r="AC301" s="5"/>
      <c r="AD301" s="5"/>
      <c r="AE301" s="5"/>
      <c r="AF301" s="30"/>
      <c r="AG301" s="30"/>
      <c r="AH301" s="30"/>
      <c r="AI301" s="30"/>
      <c r="AJ301" s="30"/>
      <c r="AK301" s="30"/>
      <c r="AL301" s="28"/>
      <c r="AM301" s="5"/>
      <c r="AN301" s="19"/>
      <c r="AO301" s="19"/>
      <c r="AP301" s="5"/>
      <c r="AQ301" s="5"/>
      <c r="AR301" s="5"/>
      <c r="AS301" s="5"/>
      <c r="AT301" s="5"/>
      <c r="AU301" s="19"/>
      <c r="AV301" s="19"/>
      <c r="AW301" s="5"/>
      <c r="AX301" s="5"/>
      <c r="AY301" s="19"/>
      <c r="AZ301" s="30"/>
      <c r="BA301" s="5"/>
      <c r="BB301" s="31" t="str">
        <f aca="false">IF(OR($T301="",$M301=""),"",$T301-$M301)</f>
        <v/>
      </c>
      <c r="BC301" s="32" t="str">
        <f aca="false">IF(OR($T301="",$M301="",$M301=0),"",($T301-$M301)/$M301)</f>
        <v/>
      </c>
      <c r="BD301" s="31" t="str">
        <f aca="false">IF(OR($U301="",$M301=""),"",$U301-$M301)</f>
        <v/>
      </c>
      <c r="BE301" s="32" t="str">
        <f aca="false">IF(OR($U301="",$M301="",$M301=0),"",($U301-$M301)/$M301)</f>
        <v/>
      </c>
      <c r="BF301" s="32" t="str">
        <f aca="false">IF(OR($U301="",$J301="",$J301=0),"",($U301-$J301)/$J301)</f>
        <v/>
      </c>
      <c r="BG301" s="32" t="str">
        <f aca="false">IF(OR($M301="",$K301="",$K301=0),"",($M301-$K301)/$K301)</f>
        <v/>
      </c>
      <c r="BH301" s="32" t="str">
        <f aca="false">IF(OR($W301="",$N301="",$N301=0),"",($W301-$N301)/$N301)</f>
        <v/>
      </c>
      <c r="BI301" s="33" t="str">
        <f aca="false">IF(OR($O301="",$X301=""),"",$O301-$X301)</f>
        <v/>
      </c>
      <c r="BJ301" s="33" t="str">
        <f aca="false">IF(OR($P301="",$Y301=""),"",$P301-$Y301)</f>
        <v/>
      </c>
      <c r="BK301" s="34" t="str">
        <f aca="false">IF(OR($AN301="",$AO301="",$AN301=0),"",$AO301/$AN301)</f>
        <v/>
      </c>
      <c r="BL301" s="34" t="str">
        <f aca="false">IF(OR($AU301="",$AV301="",$AU301=0),"",$AV301/$AU301)</f>
        <v/>
      </c>
      <c r="BM301" s="7" t="str">
        <f aca="false">IF($Z301="","",IF(AND($Z301="Y",$AB301&lt;&gt;"N",$AC301&lt;&gt;"Y"),"Y","N"))</f>
        <v/>
      </c>
      <c r="BN301" s="7" t="str">
        <f aca="false">IF($AH301="","",IF($Z301&lt;&gt;"Y","undefined",IF($AH301&lt;=1,"Y","N")))</f>
        <v/>
      </c>
      <c r="BO301" s="7" t="str">
        <f aca="false">IF($AH301="","",IF($Z301&lt;&gt;"Y","undefined",IF($AH301&lt;=10,"Y","N")))</f>
        <v/>
      </c>
      <c r="BP301" s="7" t="str">
        <f aca="false">IF($AH301="","",IF($Z301&lt;&gt;"Y","undefined",IF($AH301&lt;=100,"Y","N")))</f>
        <v/>
      </c>
    </row>
    <row r="302" customFormat="false" ht="15" hidden="false" customHeight="false" outlineLevel="0" collapsed="false">
      <c r="A302" s="7" t="str">
        <f aca="false">IF($B302="","",$B302&amp;"|"&amp;$C302&amp;"|"&amp;$F302)</f>
        <v/>
      </c>
      <c r="B302" s="5"/>
      <c r="C302" s="5"/>
      <c r="D302" s="5"/>
      <c r="E302" s="5"/>
      <c r="F302" s="5"/>
      <c r="G302" s="5"/>
      <c r="H302" s="5"/>
      <c r="I302" s="5"/>
      <c r="J302" s="20"/>
      <c r="K302" s="20"/>
      <c r="L302" s="28"/>
      <c r="M302" s="20"/>
      <c r="N302" s="28"/>
      <c r="O302" s="19"/>
      <c r="P302" s="19"/>
      <c r="Q302" s="5"/>
      <c r="R302" s="19"/>
      <c r="S302" s="5"/>
      <c r="T302" s="20"/>
      <c r="U302" s="20"/>
      <c r="V302" s="29"/>
      <c r="W302" s="28"/>
      <c r="X302" s="19"/>
      <c r="Y302" s="19"/>
      <c r="Z302" s="5"/>
      <c r="AA302" s="19"/>
      <c r="AB302" s="5"/>
      <c r="AC302" s="5"/>
      <c r="AD302" s="5"/>
      <c r="AE302" s="5"/>
      <c r="AF302" s="30"/>
      <c r="AG302" s="30"/>
      <c r="AH302" s="30"/>
      <c r="AI302" s="30"/>
      <c r="AJ302" s="30"/>
      <c r="AK302" s="30"/>
      <c r="AL302" s="28"/>
      <c r="AM302" s="5"/>
      <c r="AN302" s="19"/>
      <c r="AO302" s="19"/>
      <c r="AP302" s="5"/>
      <c r="AQ302" s="5"/>
      <c r="AR302" s="5"/>
      <c r="AS302" s="5"/>
      <c r="AT302" s="5"/>
      <c r="AU302" s="19"/>
      <c r="AV302" s="19"/>
      <c r="AW302" s="5"/>
      <c r="AX302" s="5"/>
      <c r="AY302" s="19"/>
      <c r="AZ302" s="30"/>
      <c r="BA302" s="5"/>
      <c r="BB302" s="31" t="str">
        <f aca="false">IF(OR($T302="",$M302=""),"",$T302-$M302)</f>
        <v/>
      </c>
      <c r="BC302" s="32" t="str">
        <f aca="false">IF(OR($T302="",$M302="",$M302=0),"",($T302-$M302)/$M302)</f>
        <v/>
      </c>
      <c r="BD302" s="31" t="str">
        <f aca="false">IF(OR($U302="",$M302=""),"",$U302-$M302)</f>
        <v/>
      </c>
      <c r="BE302" s="32" t="str">
        <f aca="false">IF(OR($U302="",$M302="",$M302=0),"",($U302-$M302)/$M302)</f>
        <v/>
      </c>
      <c r="BF302" s="32" t="str">
        <f aca="false">IF(OR($U302="",$J302="",$J302=0),"",($U302-$J302)/$J302)</f>
        <v/>
      </c>
      <c r="BG302" s="32" t="str">
        <f aca="false">IF(OR($M302="",$K302="",$K302=0),"",($M302-$K302)/$K302)</f>
        <v/>
      </c>
      <c r="BH302" s="32" t="str">
        <f aca="false">IF(OR($W302="",$N302="",$N302=0),"",($W302-$N302)/$N302)</f>
        <v/>
      </c>
      <c r="BI302" s="33" t="str">
        <f aca="false">IF(OR($O302="",$X302=""),"",$O302-$X302)</f>
        <v/>
      </c>
      <c r="BJ302" s="33" t="str">
        <f aca="false">IF(OR($P302="",$Y302=""),"",$P302-$Y302)</f>
        <v/>
      </c>
      <c r="BK302" s="34" t="str">
        <f aca="false">IF(OR($AN302="",$AO302="",$AN302=0),"",$AO302/$AN302)</f>
        <v/>
      </c>
      <c r="BL302" s="34" t="str">
        <f aca="false">IF(OR($AU302="",$AV302="",$AU302=0),"",$AV302/$AU302)</f>
        <v/>
      </c>
      <c r="BM302" s="7" t="str">
        <f aca="false">IF($Z302="","",IF(AND($Z302="Y",$AB302&lt;&gt;"N",$AC302&lt;&gt;"Y"),"Y","N"))</f>
        <v/>
      </c>
      <c r="BN302" s="7" t="str">
        <f aca="false">IF($AH302="","",IF($Z302&lt;&gt;"Y","undefined",IF($AH302&lt;=1,"Y","N")))</f>
        <v/>
      </c>
      <c r="BO302" s="7" t="str">
        <f aca="false">IF($AH302="","",IF($Z302&lt;&gt;"Y","undefined",IF($AH302&lt;=10,"Y","N")))</f>
        <v/>
      </c>
      <c r="BP302" s="7" t="str">
        <f aca="false">IF($AH302="","",IF($Z302&lt;&gt;"Y","undefined",IF($AH302&lt;=100,"Y","N")))</f>
        <v/>
      </c>
    </row>
    <row r="303" customFormat="false" ht="15" hidden="false" customHeight="false" outlineLevel="0" collapsed="false">
      <c r="A303" s="7" t="str">
        <f aca="false">IF($B303="","",$B303&amp;"|"&amp;$C303&amp;"|"&amp;$F303)</f>
        <v/>
      </c>
      <c r="B303" s="5"/>
      <c r="C303" s="5"/>
      <c r="D303" s="5"/>
      <c r="E303" s="5"/>
      <c r="F303" s="5"/>
      <c r="G303" s="5"/>
      <c r="H303" s="5"/>
      <c r="I303" s="5"/>
      <c r="J303" s="20"/>
      <c r="K303" s="20"/>
      <c r="L303" s="28"/>
      <c r="M303" s="20"/>
      <c r="N303" s="28"/>
      <c r="O303" s="19"/>
      <c r="P303" s="19"/>
      <c r="Q303" s="5"/>
      <c r="R303" s="19"/>
      <c r="S303" s="5"/>
      <c r="T303" s="20"/>
      <c r="U303" s="20"/>
      <c r="V303" s="29"/>
      <c r="W303" s="28"/>
      <c r="X303" s="19"/>
      <c r="Y303" s="19"/>
      <c r="Z303" s="5"/>
      <c r="AA303" s="19"/>
      <c r="AB303" s="5"/>
      <c r="AC303" s="5"/>
      <c r="AD303" s="5"/>
      <c r="AE303" s="5"/>
      <c r="AF303" s="30"/>
      <c r="AG303" s="30"/>
      <c r="AH303" s="30"/>
      <c r="AI303" s="30"/>
      <c r="AJ303" s="30"/>
      <c r="AK303" s="30"/>
      <c r="AL303" s="28"/>
      <c r="AM303" s="5"/>
      <c r="AN303" s="19"/>
      <c r="AO303" s="19"/>
      <c r="AP303" s="5"/>
      <c r="AQ303" s="5"/>
      <c r="AR303" s="5"/>
      <c r="AS303" s="5"/>
      <c r="AT303" s="5"/>
      <c r="AU303" s="19"/>
      <c r="AV303" s="19"/>
      <c r="AW303" s="5"/>
      <c r="AX303" s="5"/>
      <c r="AY303" s="19"/>
      <c r="AZ303" s="30"/>
      <c r="BA303" s="5"/>
      <c r="BB303" s="31" t="str">
        <f aca="false">IF(OR($T303="",$M303=""),"",$T303-$M303)</f>
        <v/>
      </c>
      <c r="BC303" s="32" t="str">
        <f aca="false">IF(OR($T303="",$M303="",$M303=0),"",($T303-$M303)/$M303)</f>
        <v/>
      </c>
      <c r="BD303" s="31" t="str">
        <f aca="false">IF(OR($U303="",$M303=""),"",$U303-$M303)</f>
        <v/>
      </c>
      <c r="BE303" s="32" t="str">
        <f aca="false">IF(OR($U303="",$M303="",$M303=0),"",($U303-$M303)/$M303)</f>
        <v/>
      </c>
      <c r="BF303" s="32" t="str">
        <f aca="false">IF(OR($U303="",$J303="",$J303=0),"",($U303-$J303)/$J303)</f>
        <v/>
      </c>
      <c r="BG303" s="32" t="str">
        <f aca="false">IF(OR($M303="",$K303="",$K303=0),"",($M303-$K303)/$K303)</f>
        <v/>
      </c>
      <c r="BH303" s="32" t="str">
        <f aca="false">IF(OR($W303="",$N303="",$N303=0),"",($W303-$N303)/$N303)</f>
        <v/>
      </c>
      <c r="BI303" s="33" t="str">
        <f aca="false">IF(OR($O303="",$X303=""),"",$O303-$X303)</f>
        <v/>
      </c>
      <c r="BJ303" s="33" t="str">
        <f aca="false">IF(OR($P303="",$Y303=""),"",$P303-$Y303)</f>
        <v/>
      </c>
      <c r="BK303" s="34" t="str">
        <f aca="false">IF(OR($AN303="",$AO303="",$AN303=0),"",$AO303/$AN303)</f>
        <v/>
      </c>
      <c r="BL303" s="34" t="str">
        <f aca="false">IF(OR($AU303="",$AV303="",$AU303=0),"",$AV303/$AU303)</f>
        <v/>
      </c>
      <c r="BM303" s="7" t="str">
        <f aca="false">IF($Z303="","",IF(AND($Z303="Y",$AB303&lt;&gt;"N",$AC303&lt;&gt;"Y"),"Y","N"))</f>
        <v/>
      </c>
      <c r="BN303" s="7" t="str">
        <f aca="false">IF($AH303="","",IF($Z303&lt;&gt;"Y","undefined",IF($AH303&lt;=1,"Y","N")))</f>
        <v/>
      </c>
      <c r="BO303" s="7" t="str">
        <f aca="false">IF($AH303="","",IF($Z303&lt;&gt;"Y","undefined",IF($AH303&lt;=10,"Y","N")))</f>
        <v/>
      </c>
      <c r="BP303" s="7" t="str">
        <f aca="false">IF($AH303="","",IF($Z303&lt;&gt;"Y","undefined",IF($AH303&lt;=100,"Y","N")))</f>
        <v/>
      </c>
    </row>
    <row r="304" customFormat="false" ht="15" hidden="false" customHeight="false" outlineLevel="0" collapsed="false">
      <c r="A304" s="7" t="str">
        <f aca="false">IF($B304="","",$B304&amp;"|"&amp;$C304&amp;"|"&amp;$F304)</f>
        <v/>
      </c>
      <c r="B304" s="5"/>
      <c r="C304" s="5"/>
      <c r="D304" s="5"/>
      <c r="E304" s="5"/>
      <c r="F304" s="5"/>
      <c r="G304" s="5"/>
      <c r="H304" s="5"/>
      <c r="I304" s="5"/>
      <c r="J304" s="20"/>
      <c r="K304" s="20"/>
      <c r="L304" s="28"/>
      <c r="M304" s="20"/>
      <c r="N304" s="28"/>
      <c r="O304" s="19"/>
      <c r="P304" s="19"/>
      <c r="Q304" s="5"/>
      <c r="R304" s="19"/>
      <c r="S304" s="5"/>
      <c r="T304" s="20"/>
      <c r="U304" s="20"/>
      <c r="V304" s="29"/>
      <c r="W304" s="28"/>
      <c r="X304" s="19"/>
      <c r="Y304" s="19"/>
      <c r="Z304" s="5"/>
      <c r="AA304" s="19"/>
      <c r="AB304" s="5"/>
      <c r="AC304" s="5"/>
      <c r="AD304" s="5"/>
      <c r="AE304" s="5"/>
      <c r="AF304" s="30"/>
      <c r="AG304" s="30"/>
      <c r="AH304" s="30"/>
      <c r="AI304" s="30"/>
      <c r="AJ304" s="30"/>
      <c r="AK304" s="30"/>
      <c r="AL304" s="28"/>
      <c r="AM304" s="5"/>
      <c r="AN304" s="19"/>
      <c r="AO304" s="19"/>
      <c r="AP304" s="5"/>
      <c r="AQ304" s="5"/>
      <c r="AR304" s="5"/>
      <c r="AS304" s="5"/>
      <c r="AT304" s="5"/>
      <c r="AU304" s="19"/>
      <c r="AV304" s="19"/>
      <c r="AW304" s="5"/>
      <c r="AX304" s="5"/>
      <c r="AY304" s="19"/>
      <c r="AZ304" s="30"/>
      <c r="BA304" s="5"/>
      <c r="BB304" s="31" t="str">
        <f aca="false">IF(OR($T304="",$M304=""),"",$T304-$M304)</f>
        <v/>
      </c>
      <c r="BC304" s="32" t="str">
        <f aca="false">IF(OR($T304="",$M304="",$M304=0),"",($T304-$M304)/$M304)</f>
        <v/>
      </c>
      <c r="BD304" s="31" t="str">
        <f aca="false">IF(OR($U304="",$M304=""),"",$U304-$M304)</f>
        <v/>
      </c>
      <c r="BE304" s="32" t="str">
        <f aca="false">IF(OR($U304="",$M304="",$M304=0),"",($U304-$M304)/$M304)</f>
        <v/>
      </c>
      <c r="BF304" s="32" t="str">
        <f aca="false">IF(OR($U304="",$J304="",$J304=0),"",($U304-$J304)/$J304)</f>
        <v/>
      </c>
      <c r="BG304" s="32" t="str">
        <f aca="false">IF(OR($M304="",$K304="",$K304=0),"",($M304-$K304)/$K304)</f>
        <v/>
      </c>
      <c r="BH304" s="32" t="str">
        <f aca="false">IF(OR($W304="",$N304="",$N304=0),"",($W304-$N304)/$N304)</f>
        <v/>
      </c>
      <c r="BI304" s="33" t="str">
        <f aca="false">IF(OR($O304="",$X304=""),"",$O304-$X304)</f>
        <v/>
      </c>
      <c r="BJ304" s="33" t="str">
        <f aca="false">IF(OR($P304="",$Y304=""),"",$P304-$Y304)</f>
        <v/>
      </c>
      <c r="BK304" s="34" t="str">
        <f aca="false">IF(OR($AN304="",$AO304="",$AN304=0),"",$AO304/$AN304)</f>
        <v/>
      </c>
      <c r="BL304" s="34" t="str">
        <f aca="false">IF(OR($AU304="",$AV304="",$AU304=0),"",$AV304/$AU304)</f>
        <v/>
      </c>
      <c r="BM304" s="7" t="str">
        <f aca="false">IF($Z304="","",IF(AND($Z304="Y",$AB304&lt;&gt;"N",$AC304&lt;&gt;"Y"),"Y","N"))</f>
        <v/>
      </c>
      <c r="BN304" s="7" t="str">
        <f aca="false">IF($AH304="","",IF($Z304&lt;&gt;"Y","undefined",IF($AH304&lt;=1,"Y","N")))</f>
        <v/>
      </c>
      <c r="BO304" s="7" t="str">
        <f aca="false">IF($AH304="","",IF($Z304&lt;&gt;"Y","undefined",IF($AH304&lt;=10,"Y","N")))</f>
        <v/>
      </c>
      <c r="BP304" s="7" t="str">
        <f aca="false">IF($AH304="","",IF($Z304&lt;&gt;"Y","undefined",IF($AH304&lt;=100,"Y","N")))</f>
        <v/>
      </c>
    </row>
    <row r="305" customFormat="false" ht="15" hidden="false" customHeight="false" outlineLevel="0" collapsed="false">
      <c r="A305" s="7" t="str">
        <f aca="false">IF($B305="","",$B305&amp;"|"&amp;$C305&amp;"|"&amp;$F305)</f>
        <v/>
      </c>
      <c r="B305" s="5"/>
      <c r="C305" s="5"/>
      <c r="D305" s="5"/>
      <c r="E305" s="5"/>
      <c r="F305" s="5"/>
      <c r="G305" s="5"/>
      <c r="H305" s="5"/>
      <c r="I305" s="5"/>
      <c r="J305" s="20"/>
      <c r="K305" s="20"/>
      <c r="L305" s="28"/>
      <c r="M305" s="20"/>
      <c r="N305" s="28"/>
      <c r="O305" s="19"/>
      <c r="P305" s="19"/>
      <c r="Q305" s="5"/>
      <c r="R305" s="19"/>
      <c r="S305" s="5"/>
      <c r="T305" s="20"/>
      <c r="U305" s="20"/>
      <c r="V305" s="29"/>
      <c r="W305" s="28"/>
      <c r="X305" s="19"/>
      <c r="Y305" s="19"/>
      <c r="Z305" s="5"/>
      <c r="AA305" s="19"/>
      <c r="AB305" s="5"/>
      <c r="AC305" s="5"/>
      <c r="AD305" s="5"/>
      <c r="AE305" s="5"/>
      <c r="AF305" s="30"/>
      <c r="AG305" s="30"/>
      <c r="AH305" s="30"/>
      <c r="AI305" s="30"/>
      <c r="AJ305" s="30"/>
      <c r="AK305" s="30"/>
      <c r="AL305" s="28"/>
      <c r="AM305" s="5"/>
      <c r="AN305" s="19"/>
      <c r="AO305" s="19"/>
      <c r="AP305" s="5"/>
      <c r="AQ305" s="5"/>
      <c r="AR305" s="5"/>
      <c r="AS305" s="5"/>
      <c r="AT305" s="5"/>
      <c r="AU305" s="19"/>
      <c r="AV305" s="19"/>
      <c r="AW305" s="5"/>
      <c r="AX305" s="5"/>
      <c r="AY305" s="19"/>
      <c r="AZ305" s="30"/>
      <c r="BA305" s="5"/>
      <c r="BB305" s="31" t="str">
        <f aca="false">IF(OR($T305="",$M305=""),"",$T305-$M305)</f>
        <v/>
      </c>
      <c r="BC305" s="32" t="str">
        <f aca="false">IF(OR($T305="",$M305="",$M305=0),"",($T305-$M305)/$M305)</f>
        <v/>
      </c>
      <c r="BD305" s="31" t="str">
        <f aca="false">IF(OR($U305="",$M305=""),"",$U305-$M305)</f>
        <v/>
      </c>
      <c r="BE305" s="32" t="str">
        <f aca="false">IF(OR($U305="",$M305="",$M305=0),"",($U305-$M305)/$M305)</f>
        <v/>
      </c>
      <c r="BF305" s="32" t="str">
        <f aca="false">IF(OR($U305="",$J305="",$J305=0),"",($U305-$J305)/$J305)</f>
        <v/>
      </c>
      <c r="BG305" s="32" t="str">
        <f aca="false">IF(OR($M305="",$K305="",$K305=0),"",($M305-$K305)/$K305)</f>
        <v/>
      </c>
      <c r="BH305" s="32" t="str">
        <f aca="false">IF(OR($W305="",$N305="",$N305=0),"",($W305-$N305)/$N305)</f>
        <v/>
      </c>
      <c r="BI305" s="33" t="str">
        <f aca="false">IF(OR($O305="",$X305=""),"",$O305-$X305)</f>
        <v/>
      </c>
      <c r="BJ305" s="33" t="str">
        <f aca="false">IF(OR($P305="",$Y305=""),"",$P305-$Y305)</f>
        <v/>
      </c>
      <c r="BK305" s="34" t="str">
        <f aca="false">IF(OR($AN305="",$AO305="",$AN305=0),"",$AO305/$AN305)</f>
        <v/>
      </c>
      <c r="BL305" s="34" t="str">
        <f aca="false">IF(OR($AU305="",$AV305="",$AU305=0),"",$AV305/$AU305)</f>
        <v/>
      </c>
      <c r="BM305" s="7" t="str">
        <f aca="false">IF($Z305="","",IF(AND($Z305="Y",$AB305&lt;&gt;"N",$AC305&lt;&gt;"Y"),"Y","N"))</f>
        <v/>
      </c>
      <c r="BN305" s="7" t="str">
        <f aca="false">IF($AH305="","",IF($Z305&lt;&gt;"Y","undefined",IF($AH305&lt;=1,"Y","N")))</f>
        <v/>
      </c>
      <c r="BO305" s="7" t="str">
        <f aca="false">IF($AH305="","",IF($Z305&lt;&gt;"Y","undefined",IF($AH305&lt;=10,"Y","N")))</f>
        <v/>
      </c>
      <c r="BP305" s="7" t="str">
        <f aca="false">IF($AH305="","",IF($Z305&lt;&gt;"Y","undefined",IF($AH305&lt;=100,"Y","N")))</f>
        <v/>
      </c>
    </row>
    <row r="306" customFormat="false" ht="15" hidden="false" customHeight="false" outlineLevel="0" collapsed="false">
      <c r="A306" s="7" t="str">
        <f aca="false">IF($B306="","",$B306&amp;"|"&amp;$C306&amp;"|"&amp;$F306)</f>
        <v/>
      </c>
      <c r="B306" s="5"/>
      <c r="C306" s="5"/>
      <c r="D306" s="5"/>
      <c r="E306" s="5"/>
      <c r="F306" s="5"/>
      <c r="G306" s="5"/>
      <c r="H306" s="5"/>
      <c r="I306" s="5"/>
      <c r="J306" s="20"/>
      <c r="K306" s="20"/>
      <c r="L306" s="28"/>
      <c r="M306" s="20"/>
      <c r="N306" s="28"/>
      <c r="O306" s="19"/>
      <c r="P306" s="19"/>
      <c r="Q306" s="5"/>
      <c r="R306" s="19"/>
      <c r="S306" s="5"/>
      <c r="T306" s="20"/>
      <c r="U306" s="20"/>
      <c r="V306" s="29"/>
      <c r="W306" s="28"/>
      <c r="X306" s="19"/>
      <c r="Y306" s="19"/>
      <c r="Z306" s="5"/>
      <c r="AA306" s="19"/>
      <c r="AB306" s="5"/>
      <c r="AC306" s="5"/>
      <c r="AD306" s="5"/>
      <c r="AE306" s="5"/>
      <c r="AF306" s="30"/>
      <c r="AG306" s="30"/>
      <c r="AH306" s="30"/>
      <c r="AI306" s="30"/>
      <c r="AJ306" s="30"/>
      <c r="AK306" s="30"/>
      <c r="AL306" s="28"/>
      <c r="AM306" s="5"/>
      <c r="AN306" s="19"/>
      <c r="AO306" s="19"/>
      <c r="AP306" s="5"/>
      <c r="AQ306" s="5"/>
      <c r="AR306" s="5"/>
      <c r="AS306" s="5"/>
      <c r="AT306" s="5"/>
      <c r="AU306" s="19"/>
      <c r="AV306" s="19"/>
      <c r="AW306" s="5"/>
      <c r="AX306" s="5"/>
      <c r="AY306" s="19"/>
      <c r="AZ306" s="30"/>
      <c r="BA306" s="5"/>
      <c r="BB306" s="31" t="str">
        <f aca="false">IF(OR($T306="",$M306=""),"",$T306-$M306)</f>
        <v/>
      </c>
      <c r="BC306" s="32" t="str">
        <f aca="false">IF(OR($T306="",$M306="",$M306=0),"",($T306-$M306)/$M306)</f>
        <v/>
      </c>
      <c r="BD306" s="31" t="str">
        <f aca="false">IF(OR($U306="",$M306=""),"",$U306-$M306)</f>
        <v/>
      </c>
      <c r="BE306" s="32" t="str">
        <f aca="false">IF(OR($U306="",$M306="",$M306=0),"",($U306-$M306)/$M306)</f>
        <v/>
      </c>
      <c r="BF306" s="32" t="str">
        <f aca="false">IF(OR($U306="",$J306="",$J306=0),"",($U306-$J306)/$J306)</f>
        <v/>
      </c>
      <c r="BG306" s="32" t="str">
        <f aca="false">IF(OR($M306="",$K306="",$K306=0),"",($M306-$K306)/$K306)</f>
        <v/>
      </c>
      <c r="BH306" s="32" t="str">
        <f aca="false">IF(OR($W306="",$N306="",$N306=0),"",($W306-$N306)/$N306)</f>
        <v/>
      </c>
      <c r="BI306" s="33" t="str">
        <f aca="false">IF(OR($O306="",$X306=""),"",$O306-$X306)</f>
        <v/>
      </c>
      <c r="BJ306" s="33" t="str">
        <f aca="false">IF(OR($P306="",$Y306=""),"",$P306-$Y306)</f>
        <v/>
      </c>
      <c r="BK306" s="34" t="str">
        <f aca="false">IF(OR($AN306="",$AO306="",$AN306=0),"",$AO306/$AN306)</f>
        <v/>
      </c>
      <c r="BL306" s="34" t="str">
        <f aca="false">IF(OR($AU306="",$AV306="",$AU306=0),"",$AV306/$AU306)</f>
        <v/>
      </c>
      <c r="BM306" s="7" t="str">
        <f aca="false">IF($Z306="","",IF(AND($Z306="Y",$AB306&lt;&gt;"N",$AC306&lt;&gt;"Y"),"Y","N"))</f>
        <v/>
      </c>
      <c r="BN306" s="7" t="str">
        <f aca="false">IF($AH306="","",IF($Z306&lt;&gt;"Y","undefined",IF($AH306&lt;=1,"Y","N")))</f>
        <v/>
      </c>
      <c r="BO306" s="7" t="str">
        <f aca="false">IF($AH306="","",IF($Z306&lt;&gt;"Y","undefined",IF($AH306&lt;=10,"Y","N")))</f>
        <v/>
      </c>
      <c r="BP306" s="7" t="str">
        <f aca="false">IF($AH306="","",IF($Z306&lt;&gt;"Y","undefined",IF($AH306&lt;=100,"Y","N")))</f>
        <v/>
      </c>
    </row>
    <row r="307" customFormat="false" ht="15" hidden="false" customHeight="false" outlineLevel="0" collapsed="false">
      <c r="A307" s="7" t="str">
        <f aca="false">IF($B307="","",$B307&amp;"|"&amp;$C307&amp;"|"&amp;$F307)</f>
        <v/>
      </c>
      <c r="B307" s="5"/>
      <c r="C307" s="5"/>
      <c r="D307" s="5"/>
      <c r="E307" s="5"/>
      <c r="F307" s="5"/>
      <c r="G307" s="5"/>
      <c r="H307" s="5"/>
      <c r="I307" s="5"/>
      <c r="J307" s="20"/>
      <c r="K307" s="20"/>
      <c r="L307" s="28"/>
      <c r="M307" s="20"/>
      <c r="N307" s="28"/>
      <c r="O307" s="19"/>
      <c r="P307" s="19"/>
      <c r="Q307" s="5"/>
      <c r="R307" s="19"/>
      <c r="S307" s="5"/>
      <c r="T307" s="20"/>
      <c r="U307" s="20"/>
      <c r="V307" s="29"/>
      <c r="W307" s="28"/>
      <c r="X307" s="19"/>
      <c r="Y307" s="19"/>
      <c r="Z307" s="5"/>
      <c r="AA307" s="19"/>
      <c r="AB307" s="5"/>
      <c r="AC307" s="5"/>
      <c r="AD307" s="5"/>
      <c r="AE307" s="5"/>
      <c r="AF307" s="30"/>
      <c r="AG307" s="30"/>
      <c r="AH307" s="30"/>
      <c r="AI307" s="30"/>
      <c r="AJ307" s="30"/>
      <c r="AK307" s="30"/>
      <c r="AL307" s="28"/>
      <c r="AM307" s="5"/>
      <c r="AN307" s="19"/>
      <c r="AO307" s="19"/>
      <c r="AP307" s="5"/>
      <c r="AQ307" s="5"/>
      <c r="AR307" s="5"/>
      <c r="AS307" s="5"/>
      <c r="AT307" s="5"/>
      <c r="AU307" s="19"/>
      <c r="AV307" s="19"/>
      <c r="AW307" s="5"/>
      <c r="AX307" s="5"/>
      <c r="AY307" s="19"/>
      <c r="AZ307" s="30"/>
      <c r="BA307" s="5"/>
      <c r="BB307" s="31" t="str">
        <f aca="false">IF(OR($T307="",$M307=""),"",$T307-$M307)</f>
        <v/>
      </c>
      <c r="BC307" s="32" t="str">
        <f aca="false">IF(OR($T307="",$M307="",$M307=0),"",($T307-$M307)/$M307)</f>
        <v/>
      </c>
      <c r="BD307" s="31" t="str">
        <f aca="false">IF(OR($U307="",$M307=""),"",$U307-$M307)</f>
        <v/>
      </c>
      <c r="BE307" s="32" t="str">
        <f aca="false">IF(OR($U307="",$M307="",$M307=0),"",($U307-$M307)/$M307)</f>
        <v/>
      </c>
      <c r="BF307" s="32" t="str">
        <f aca="false">IF(OR($U307="",$J307="",$J307=0),"",($U307-$J307)/$J307)</f>
        <v/>
      </c>
      <c r="BG307" s="32" t="str">
        <f aca="false">IF(OR($M307="",$K307="",$K307=0),"",($M307-$K307)/$K307)</f>
        <v/>
      </c>
      <c r="BH307" s="32" t="str">
        <f aca="false">IF(OR($W307="",$N307="",$N307=0),"",($W307-$N307)/$N307)</f>
        <v/>
      </c>
      <c r="BI307" s="33" t="str">
        <f aca="false">IF(OR($O307="",$X307=""),"",$O307-$X307)</f>
        <v/>
      </c>
      <c r="BJ307" s="33" t="str">
        <f aca="false">IF(OR($P307="",$Y307=""),"",$P307-$Y307)</f>
        <v/>
      </c>
      <c r="BK307" s="34" t="str">
        <f aca="false">IF(OR($AN307="",$AO307="",$AN307=0),"",$AO307/$AN307)</f>
        <v/>
      </c>
      <c r="BL307" s="34" t="str">
        <f aca="false">IF(OR($AU307="",$AV307="",$AU307=0),"",$AV307/$AU307)</f>
        <v/>
      </c>
      <c r="BM307" s="7" t="str">
        <f aca="false">IF($Z307="","",IF(AND($Z307="Y",$AB307&lt;&gt;"N",$AC307&lt;&gt;"Y"),"Y","N"))</f>
        <v/>
      </c>
      <c r="BN307" s="7" t="str">
        <f aca="false">IF($AH307="","",IF($Z307&lt;&gt;"Y","undefined",IF($AH307&lt;=1,"Y","N")))</f>
        <v/>
      </c>
      <c r="BO307" s="7" t="str">
        <f aca="false">IF($AH307="","",IF($Z307&lt;&gt;"Y","undefined",IF($AH307&lt;=10,"Y","N")))</f>
        <v/>
      </c>
      <c r="BP307" s="7" t="str">
        <f aca="false">IF($AH307="","",IF($Z307&lt;&gt;"Y","undefined",IF($AH307&lt;=100,"Y","N")))</f>
        <v/>
      </c>
    </row>
    <row r="308" customFormat="false" ht="15" hidden="false" customHeight="false" outlineLevel="0" collapsed="false">
      <c r="A308" s="7" t="str">
        <f aca="false">IF($B308="","",$B308&amp;"|"&amp;$C308&amp;"|"&amp;$F308)</f>
        <v/>
      </c>
      <c r="B308" s="5"/>
      <c r="C308" s="5"/>
      <c r="D308" s="5"/>
      <c r="E308" s="5"/>
      <c r="F308" s="5"/>
      <c r="G308" s="5"/>
      <c r="H308" s="5"/>
      <c r="I308" s="5"/>
      <c r="J308" s="20"/>
      <c r="K308" s="20"/>
      <c r="L308" s="28"/>
      <c r="M308" s="20"/>
      <c r="N308" s="28"/>
      <c r="O308" s="19"/>
      <c r="P308" s="19"/>
      <c r="Q308" s="5"/>
      <c r="R308" s="19"/>
      <c r="S308" s="5"/>
      <c r="T308" s="20"/>
      <c r="U308" s="20"/>
      <c r="V308" s="29"/>
      <c r="W308" s="28"/>
      <c r="X308" s="19"/>
      <c r="Y308" s="19"/>
      <c r="Z308" s="5"/>
      <c r="AA308" s="19"/>
      <c r="AB308" s="5"/>
      <c r="AC308" s="5"/>
      <c r="AD308" s="5"/>
      <c r="AE308" s="5"/>
      <c r="AF308" s="30"/>
      <c r="AG308" s="30"/>
      <c r="AH308" s="30"/>
      <c r="AI308" s="30"/>
      <c r="AJ308" s="30"/>
      <c r="AK308" s="30"/>
      <c r="AL308" s="28"/>
      <c r="AM308" s="5"/>
      <c r="AN308" s="19"/>
      <c r="AO308" s="19"/>
      <c r="AP308" s="5"/>
      <c r="AQ308" s="5"/>
      <c r="AR308" s="5"/>
      <c r="AS308" s="5"/>
      <c r="AT308" s="5"/>
      <c r="AU308" s="19"/>
      <c r="AV308" s="19"/>
      <c r="AW308" s="5"/>
      <c r="AX308" s="5"/>
      <c r="AY308" s="19"/>
      <c r="AZ308" s="30"/>
      <c r="BA308" s="5"/>
      <c r="BB308" s="31" t="str">
        <f aca="false">IF(OR($T308="",$M308=""),"",$T308-$M308)</f>
        <v/>
      </c>
      <c r="BC308" s="32" t="str">
        <f aca="false">IF(OR($T308="",$M308="",$M308=0),"",($T308-$M308)/$M308)</f>
        <v/>
      </c>
      <c r="BD308" s="31" t="str">
        <f aca="false">IF(OR($U308="",$M308=""),"",$U308-$M308)</f>
        <v/>
      </c>
      <c r="BE308" s="32" t="str">
        <f aca="false">IF(OR($U308="",$M308="",$M308=0),"",($U308-$M308)/$M308)</f>
        <v/>
      </c>
      <c r="BF308" s="32" t="str">
        <f aca="false">IF(OR($U308="",$J308="",$J308=0),"",($U308-$J308)/$J308)</f>
        <v/>
      </c>
      <c r="BG308" s="32" t="str">
        <f aca="false">IF(OR($M308="",$K308="",$K308=0),"",($M308-$K308)/$K308)</f>
        <v/>
      </c>
      <c r="BH308" s="32" t="str">
        <f aca="false">IF(OR($W308="",$N308="",$N308=0),"",($W308-$N308)/$N308)</f>
        <v/>
      </c>
      <c r="BI308" s="33" t="str">
        <f aca="false">IF(OR($O308="",$X308=""),"",$O308-$X308)</f>
        <v/>
      </c>
      <c r="BJ308" s="33" t="str">
        <f aca="false">IF(OR($P308="",$Y308=""),"",$P308-$Y308)</f>
        <v/>
      </c>
      <c r="BK308" s="34" t="str">
        <f aca="false">IF(OR($AN308="",$AO308="",$AN308=0),"",$AO308/$AN308)</f>
        <v/>
      </c>
      <c r="BL308" s="34" t="str">
        <f aca="false">IF(OR($AU308="",$AV308="",$AU308=0),"",$AV308/$AU308)</f>
        <v/>
      </c>
      <c r="BM308" s="7" t="str">
        <f aca="false">IF($Z308="","",IF(AND($Z308="Y",$AB308&lt;&gt;"N",$AC308&lt;&gt;"Y"),"Y","N"))</f>
        <v/>
      </c>
      <c r="BN308" s="7" t="str">
        <f aca="false">IF($AH308="","",IF($Z308&lt;&gt;"Y","undefined",IF($AH308&lt;=1,"Y","N")))</f>
        <v/>
      </c>
      <c r="BO308" s="7" t="str">
        <f aca="false">IF($AH308="","",IF($Z308&lt;&gt;"Y","undefined",IF($AH308&lt;=10,"Y","N")))</f>
        <v/>
      </c>
      <c r="BP308" s="7" t="str">
        <f aca="false">IF($AH308="","",IF($Z308&lt;&gt;"Y","undefined",IF($AH308&lt;=100,"Y","N")))</f>
        <v/>
      </c>
    </row>
    <row r="309" customFormat="false" ht="15" hidden="false" customHeight="false" outlineLevel="0" collapsed="false">
      <c r="A309" s="7" t="str">
        <f aca="false">IF($B309="","",$B309&amp;"|"&amp;$C309&amp;"|"&amp;$F309)</f>
        <v/>
      </c>
      <c r="B309" s="5"/>
      <c r="C309" s="5"/>
      <c r="D309" s="5"/>
      <c r="E309" s="5"/>
      <c r="F309" s="5"/>
      <c r="G309" s="5"/>
      <c r="H309" s="5"/>
      <c r="I309" s="5"/>
      <c r="J309" s="20"/>
      <c r="K309" s="20"/>
      <c r="L309" s="28"/>
      <c r="M309" s="20"/>
      <c r="N309" s="28"/>
      <c r="O309" s="19"/>
      <c r="P309" s="19"/>
      <c r="Q309" s="5"/>
      <c r="R309" s="19"/>
      <c r="S309" s="5"/>
      <c r="T309" s="20"/>
      <c r="U309" s="20"/>
      <c r="V309" s="29"/>
      <c r="W309" s="28"/>
      <c r="X309" s="19"/>
      <c r="Y309" s="19"/>
      <c r="Z309" s="5"/>
      <c r="AA309" s="19"/>
      <c r="AB309" s="5"/>
      <c r="AC309" s="5"/>
      <c r="AD309" s="5"/>
      <c r="AE309" s="5"/>
      <c r="AF309" s="30"/>
      <c r="AG309" s="30"/>
      <c r="AH309" s="30"/>
      <c r="AI309" s="30"/>
      <c r="AJ309" s="30"/>
      <c r="AK309" s="30"/>
      <c r="AL309" s="28"/>
      <c r="AM309" s="5"/>
      <c r="AN309" s="19"/>
      <c r="AO309" s="19"/>
      <c r="AP309" s="5"/>
      <c r="AQ309" s="5"/>
      <c r="AR309" s="5"/>
      <c r="AS309" s="5"/>
      <c r="AT309" s="5"/>
      <c r="AU309" s="19"/>
      <c r="AV309" s="19"/>
      <c r="AW309" s="5"/>
      <c r="AX309" s="5"/>
      <c r="AY309" s="19"/>
      <c r="AZ309" s="30"/>
      <c r="BA309" s="5"/>
      <c r="BB309" s="31" t="str">
        <f aca="false">IF(OR($T309="",$M309=""),"",$T309-$M309)</f>
        <v/>
      </c>
      <c r="BC309" s="32" t="str">
        <f aca="false">IF(OR($T309="",$M309="",$M309=0),"",($T309-$M309)/$M309)</f>
        <v/>
      </c>
      <c r="BD309" s="31" t="str">
        <f aca="false">IF(OR($U309="",$M309=""),"",$U309-$M309)</f>
        <v/>
      </c>
      <c r="BE309" s="32" t="str">
        <f aca="false">IF(OR($U309="",$M309="",$M309=0),"",($U309-$M309)/$M309)</f>
        <v/>
      </c>
      <c r="BF309" s="32" t="str">
        <f aca="false">IF(OR($U309="",$J309="",$J309=0),"",($U309-$J309)/$J309)</f>
        <v/>
      </c>
      <c r="BG309" s="32" t="str">
        <f aca="false">IF(OR($M309="",$K309="",$K309=0),"",($M309-$K309)/$K309)</f>
        <v/>
      </c>
      <c r="BH309" s="32" t="str">
        <f aca="false">IF(OR($W309="",$N309="",$N309=0),"",($W309-$N309)/$N309)</f>
        <v/>
      </c>
      <c r="BI309" s="33" t="str">
        <f aca="false">IF(OR($O309="",$X309=""),"",$O309-$X309)</f>
        <v/>
      </c>
      <c r="BJ309" s="33" t="str">
        <f aca="false">IF(OR($P309="",$Y309=""),"",$P309-$Y309)</f>
        <v/>
      </c>
      <c r="BK309" s="34" t="str">
        <f aca="false">IF(OR($AN309="",$AO309="",$AN309=0),"",$AO309/$AN309)</f>
        <v/>
      </c>
      <c r="BL309" s="34" t="str">
        <f aca="false">IF(OR($AU309="",$AV309="",$AU309=0),"",$AV309/$AU309)</f>
        <v/>
      </c>
      <c r="BM309" s="7" t="str">
        <f aca="false">IF($Z309="","",IF(AND($Z309="Y",$AB309&lt;&gt;"N",$AC309&lt;&gt;"Y"),"Y","N"))</f>
        <v/>
      </c>
      <c r="BN309" s="7" t="str">
        <f aca="false">IF($AH309="","",IF($Z309&lt;&gt;"Y","undefined",IF($AH309&lt;=1,"Y","N")))</f>
        <v/>
      </c>
      <c r="BO309" s="7" t="str">
        <f aca="false">IF($AH309="","",IF($Z309&lt;&gt;"Y","undefined",IF($AH309&lt;=10,"Y","N")))</f>
        <v/>
      </c>
      <c r="BP309" s="7" t="str">
        <f aca="false">IF($AH309="","",IF($Z309&lt;&gt;"Y","undefined",IF($AH309&lt;=100,"Y","N")))</f>
        <v/>
      </c>
    </row>
    <row r="310" customFormat="false" ht="15" hidden="false" customHeight="false" outlineLevel="0" collapsed="false">
      <c r="A310" s="7" t="str">
        <f aca="false">IF($B310="","",$B310&amp;"|"&amp;$C310&amp;"|"&amp;$F310)</f>
        <v/>
      </c>
      <c r="B310" s="5"/>
      <c r="C310" s="5"/>
      <c r="D310" s="5"/>
      <c r="E310" s="5"/>
      <c r="F310" s="5"/>
      <c r="G310" s="5"/>
      <c r="H310" s="5"/>
      <c r="I310" s="5"/>
      <c r="J310" s="20"/>
      <c r="K310" s="20"/>
      <c r="L310" s="28"/>
      <c r="M310" s="20"/>
      <c r="N310" s="28"/>
      <c r="O310" s="19"/>
      <c r="P310" s="19"/>
      <c r="Q310" s="5"/>
      <c r="R310" s="19"/>
      <c r="S310" s="5"/>
      <c r="T310" s="20"/>
      <c r="U310" s="20"/>
      <c r="V310" s="29"/>
      <c r="W310" s="28"/>
      <c r="X310" s="19"/>
      <c r="Y310" s="19"/>
      <c r="Z310" s="5"/>
      <c r="AA310" s="19"/>
      <c r="AB310" s="5"/>
      <c r="AC310" s="5"/>
      <c r="AD310" s="5"/>
      <c r="AE310" s="5"/>
      <c r="AF310" s="30"/>
      <c r="AG310" s="30"/>
      <c r="AH310" s="30"/>
      <c r="AI310" s="30"/>
      <c r="AJ310" s="30"/>
      <c r="AK310" s="30"/>
      <c r="AL310" s="28"/>
      <c r="AM310" s="5"/>
      <c r="AN310" s="19"/>
      <c r="AO310" s="19"/>
      <c r="AP310" s="5"/>
      <c r="AQ310" s="5"/>
      <c r="AR310" s="5"/>
      <c r="AS310" s="5"/>
      <c r="AT310" s="5"/>
      <c r="AU310" s="19"/>
      <c r="AV310" s="19"/>
      <c r="AW310" s="5"/>
      <c r="AX310" s="5"/>
      <c r="AY310" s="19"/>
      <c r="AZ310" s="30"/>
      <c r="BA310" s="5"/>
      <c r="BB310" s="31" t="str">
        <f aca="false">IF(OR($T310="",$M310=""),"",$T310-$M310)</f>
        <v/>
      </c>
      <c r="BC310" s="32" t="str">
        <f aca="false">IF(OR($T310="",$M310="",$M310=0),"",($T310-$M310)/$M310)</f>
        <v/>
      </c>
      <c r="BD310" s="31" t="str">
        <f aca="false">IF(OR($U310="",$M310=""),"",$U310-$M310)</f>
        <v/>
      </c>
      <c r="BE310" s="32" t="str">
        <f aca="false">IF(OR($U310="",$M310="",$M310=0),"",($U310-$M310)/$M310)</f>
        <v/>
      </c>
      <c r="BF310" s="32" t="str">
        <f aca="false">IF(OR($U310="",$J310="",$J310=0),"",($U310-$J310)/$J310)</f>
        <v/>
      </c>
      <c r="BG310" s="32" t="str">
        <f aca="false">IF(OR($M310="",$K310="",$K310=0),"",($M310-$K310)/$K310)</f>
        <v/>
      </c>
      <c r="BH310" s="32" t="str">
        <f aca="false">IF(OR($W310="",$N310="",$N310=0),"",($W310-$N310)/$N310)</f>
        <v/>
      </c>
      <c r="BI310" s="33" t="str">
        <f aca="false">IF(OR($O310="",$X310=""),"",$O310-$X310)</f>
        <v/>
      </c>
      <c r="BJ310" s="33" t="str">
        <f aca="false">IF(OR($P310="",$Y310=""),"",$P310-$Y310)</f>
        <v/>
      </c>
      <c r="BK310" s="34" t="str">
        <f aca="false">IF(OR($AN310="",$AO310="",$AN310=0),"",$AO310/$AN310)</f>
        <v/>
      </c>
      <c r="BL310" s="34" t="str">
        <f aca="false">IF(OR($AU310="",$AV310="",$AU310=0),"",$AV310/$AU310)</f>
        <v/>
      </c>
      <c r="BM310" s="7" t="str">
        <f aca="false">IF($Z310="","",IF(AND($Z310="Y",$AB310&lt;&gt;"N",$AC310&lt;&gt;"Y"),"Y","N"))</f>
        <v/>
      </c>
      <c r="BN310" s="7" t="str">
        <f aca="false">IF($AH310="","",IF($Z310&lt;&gt;"Y","undefined",IF($AH310&lt;=1,"Y","N")))</f>
        <v/>
      </c>
      <c r="BO310" s="7" t="str">
        <f aca="false">IF($AH310="","",IF($Z310&lt;&gt;"Y","undefined",IF($AH310&lt;=10,"Y","N")))</f>
        <v/>
      </c>
      <c r="BP310" s="7" t="str">
        <f aca="false">IF($AH310="","",IF($Z310&lt;&gt;"Y","undefined",IF($AH310&lt;=100,"Y","N")))</f>
        <v/>
      </c>
    </row>
    <row r="311" customFormat="false" ht="15" hidden="false" customHeight="false" outlineLevel="0" collapsed="false">
      <c r="A311" s="7" t="str">
        <f aca="false">IF($B311="","",$B311&amp;"|"&amp;$C311&amp;"|"&amp;$F311)</f>
        <v/>
      </c>
      <c r="B311" s="5"/>
      <c r="C311" s="5"/>
      <c r="D311" s="5"/>
      <c r="E311" s="5"/>
      <c r="F311" s="5"/>
      <c r="G311" s="5"/>
      <c r="H311" s="5"/>
      <c r="I311" s="5"/>
      <c r="J311" s="20"/>
      <c r="K311" s="20"/>
      <c r="L311" s="28"/>
      <c r="M311" s="20"/>
      <c r="N311" s="28"/>
      <c r="O311" s="19"/>
      <c r="P311" s="19"/>
      <c r="Q311" s="5"/>
      <c r="R311" s="19"/>
      <c r="S311" s="5"/>
      <c r="T311" s="20"/>
      <c r="U311" s="20"/>
      <c r="V311" s="29"/>
      <c r="W311" s="28"/>
      <c r="X311" s="19"/>
      <c r="Y311" s="19"/>
      <c r="Z311" s="5"/>
      <c r="AA311" s="19"/>
      <c r="AB311" s="5"/>
      <c r="AC311" s="5"/>
      <c r="AD311" s="5"/>
      <c r="AE311" s="5"/>
      <c r="AF311" s="30"/>
      <c r="AG311" s="30"/>
      <c r="AH311" s="30"/>
      <c r="AI311" s="30"/>
      <c r="AJ311" s="30"/>
      <c r="AK311" s="30"/>
      <c r="AL311" s="28"/>
      <c r="AM311" s="5"/>
      <c r="AN311" s="19"/>
      <c r="AO311" s="19"/>
      <c r="AP311" s="5"/>
      <c r="AQ311" s="5"/>
      <c r="AR311" s="5"/>
      <c r="AS311" s="5"/>
      <c r="AT311" s="5"/>
      <c r="AU311" s="19"/>
      <c r="AV311" s="19"/>
      <c r="AW311" s="5"/>
      <c r="AX311" s="5"/>
      <c r="AY311" s="19"/>
      <c r="AZ311" s="30"/>
      <c r="BA311" s="5"/>
      <c r="BB311" s="31" t="str">
        <f aca="false">IF(OR($T311="",$M311=""),"",$T311-$M311)</f>
        <v/>
      </c>
      <c r="BC311" s="32" t="str">
        <f aca="false">IF(OR($T311="",$M311="",$M311=0),"",($T311-$M311)/$M311)</f>
        <v/>
      </c>
      <c r="BD311" s="31" t="str">
        <f aca="false">IF(OR($U311="",$M311=""),"",$U311-$M311)</f>
        <v/>
      </c>
      <c r="BE311" s="32" t="str">
        <f aca="false">IF(OR($U311="",$M311="",$M311=0),"",($U311-$M311)/$M311)</f>
        <v/>
      </c>
      <c r="BF311" s="32" t="str">
        <f aca="false">IF(OR($U311="",$J311="",$J311=0),"",($U311-$J311)/$J311)</f>
        <v/>
      </c>
      <c r="BG311" s="32" t="str">
        <f aca="false">IF(OR($M311="",$K311="",$K311=0),"",($M311-$K311)/$K311)</f>
        <v/>
      </c>
      <c r="BH311" s="32" t="str">
        <f aca="false">IF(OR($W311="",$N311="",$N311=0),"",($W311-$N311)/$N311)</f>
        <v/>
      </c>
      <c r="BI311" s="33" t="str">
        <f aca="false">IF(OR($O311="",$X311=""),"",$O311-$X311)</f>
        <v/>
      </c>
      <c r="BJ311" s="33" t="str">
        <f aca="false">IF(OR($P311="",$Y311=""),"",$P311-$Y311)</f>
        <v/>
      </c>
      <c r="BK311" s="34" t="str">
        <f aca="false">IF(OR($AN311="",$AO311="",$AN311=0),"",$AO311/$AN311)</f>
        <v/>
      </c>
      <c r="BL311" s="34" t="str">
        <f aca="false">IF(OR($AU311="",$AV311="",$AU311=0),"",$AV311/$AU311)</f>
        <v/>
      </c>
      <c r="BM311" s="7" t="str">
        <f aca="false">IF($Z311="","",IF(AND($Z311="Y",$AB311&lt;&gt;"N",$AC311&lt;&gt;"Y"),"Y","N"))</f>
        <v/>
      </c>
      <c r="BN311" s="7" t="str">
        <f aca="false">IF($AH311="","",IF($Z311&lt;&gt;"Y","undefined",IF($AH311&lt;=1,"Y","N")))</f>
        <v/>
      </c>
      <c r="BO311" s="7" t="str">
        <f aca="false">IF($AH311="","",IF($Z311&lt;&gt;"Y","undefined",IF($AH311&lt;=10,"Y","N")))</f>
        <v/>
      </c>
      <c r="BP311" s="7" t="str">
        <f aca="false">IF($AH311="","",IF($Z311&lt;&gt;"Y","undefined",IF($AH311&lt;=100,"Y","N")))</f>
        <v/>
      </c>
    </row>
    <row r="312" customFormat="false" ht="15" hidden="false" customHeight="false" outlineLevel="0" collapsed="false">
      <c r="A312" s="7" t="str">
        <f aca="false">IF($B312="","",$B312&amp;"|"&amp;$C312&amp;"|"&amp;$F312)</f>
        <v/>
      </c>
      <c r="B312" s="5"/>
      <c r="C312" s="5"/>
      <c r="D312" s="5"/>
      <c r="E312" s="5"/>
      <c r="F312" s="5"/>
      <c r="G312" s="5"/>
      <c r="H312" s="5"/>
      <c r="I312" s="5"/>
      <c r="J312" s="20"/>
      <c r="K312" s="20"/>
      <c r="L312" s="28"/>
      <c r="M312" s="20"/>
      <c r="N312" s="28"/>
      <c r="O312" s="19"/>
      <c r="P312" s="19"/>
      <c r="Q312" s="5"/>
      <c r="R312" s="19"/>
      <c r="S312" s="5"/>
      <c r="T312" s="20"/>
      <c r="U312" s="20"/>
      <c r="V312" s="29"/>
      <c r="W312" s="28"/>
      <c r="X312" s="19"/>
      <c r="Y312" s="19"/>
      <c r="Z312" s="5"/>
      <c r="AA312" s="19"/>
      <c r="AB312" s="5"/>
      <c r="AC312" s="5"/>
      <c r="AD312" s="5"/>
      <c r="AE312" s="5"/>
      <c r="AF312" s="30"/>
      <c r="AG312" s="30"/>
      <c r="AH312" s="30"/>
      <c r="AI312" s="30"/>
      <c r="AJ312" s="30"/>
      <c r="AK312" s="30"/>
      <c r="AL312" s="28"/>
      <c r="AM312" s="5"/>
      <c r="AN312" s="19"/>
      <c r="AO312" s="19"/>
      <c r="AP312" s="5"/>
      <c r="AQ312" s="5"/>
      <c r="AR312" s="5"/>
      <c r="AS312" s="5"/>
      <c r="AT312" s="5"/>
      <c r="AU312" s="19"/>
      <c r="AV312" s="19"/>
      <c r="AW312" s="5"/>
      <c r="AX312" s="5"/>
      <c r="AY312" s="19"/>
      <c r="AZ312" s="30"/>
      <c r="BA312" s="5"/>
      <c r="BB312" s="31" t="str">
        <f aca="false">IF(OR($T312="",$M312=""),"",$T312-$M312)</f>
        <v/>
      </c>
      <c r="BC312" s="32" t="str">
        <f aca="false">IF(OR($T312="",$M312="",$M312=0),"",($T312-$M312)/$M312)</f>
        <v/>
      </c>
      <c r="BD312" s="31" t="str">
        <f aca="false">IF(OR($U312="",$M312=""),"",$U312-$M312)</f>
        <v/>
      </c>
      <c r="BE312" s="32" t="str">
        <f aca="false">IF(OR($U312="",$M312="",$M312=0),"",($U312-$M312)/$M312)</f>
        <v/>
      </c>
      <c r="BF312" s="32" t="str">
        <f aca="false">IF(OR($U312="",$J312="",$J312=0),"",($U312-$J312)/$J312)</f>
        <v/>
      </c>
      <c r="BG312" s="32" t="str">
        <f aca="false">IF(OR($M312="",$K312="",$K312=0),"",($M312-$K312)/$K312)</f>
        <v/>
      </c>
      <c r="BH312" s="32" t="str">
        <f aca="false">IF(OR($W312="",$N312="",$N312=0),"",($W312-$N312)/$N312)</f>
        <v/>
      </c>
      <c r="BI312" s="33" t="str">
        <f aca="false">IF(OR($O312="",$X312=""),"",$O312-$X312)</f>
        <v/>
      </c>
      <c r="BJ312" s="33" t="str">
        <f aca="false">IF(OR($P312="",$Y312=""),"",$P312-$Y312)</f>
        <v/>
      </c>
      <c r="BK312" s="34" t="str">
        <f aca="false">IF(OR($AN312="",$AO312="",$AN312=0),"",$AO312/$AN312)</f>
        <v/>
      </c>
      <c r="BL312" s="34" t="str">
        <f aca="false">IF(OR($AU312="",$AV312="",$AU312=0),"",$AV312/$AU312)</f>
        <v/>
      </c>
      <c r="BM312" s="7" t="str">
        <f aca="false">IF($Z312="","",IF(AND($Z312="Y",$AB312&lt;&gt;"N",$AC312&lt;&gt;"Y"),"Y","N"))</f>
        <v/>
      </c>
      <c r="BN312" s="7" t="str">
        <f aca="false">IF($AH312="","",IF($Z312&lt;&gt;"Y","undefined",IF($AH312&lt;=1,"Y","N")))</f>
        <v/>
      </c>
      <c r="BO312" s="7" t="str">
        <f aca="false">IF($AH312="","",IF($Z312&lt;&gt;"Y","undefined",IF($AH312&lt;=10,"Y","N")))</f>
        <v/>
      </c>
      <c r="BP312" s="7" t="str">
        <f aca="false">IF($AH312="","",IF($Z312&lt;&gt;"Y","undefined",IF($AH312&lt;=100,"Y","N")))</f>
        <v/>
      </c>
    </row>
    <row r="313" customFormat="false" ht="15" hidden="false" customHeight="false" outlineLevel="0" collapsed="false">
      <c r="A313" s="7" t="str">
        <f aca="false">IF($B313="","",$B313&amp;"|"&amp;$C313&amp;"|"&amp;$F313)</f>
        <v/>
      </c>
      <c r="B313" s="5"/>
      <c r="C313" s="5"/>
      <c r="D313" s="5"/>
      <c r="E313" s="5"/>
      <c r="F313" s="5"/>
      <c r="G313" s="5"/>
      <c r="H313" s="5"/>
      <c r="I313" s="5"/>
      <c r="J313" s="20"/>
      <c r="K313" s="20"/>
      <c r="L313" s="28"/>
      <c r="M313" s="20"/>
      <c r="N313" s="28"/>
      <c r="O313" s="19"/>
      <c r="P313" s="19"/>
      <c r="Q313" s="5"/>
      <c r="R313" s="19"/>
      <c r="S313" s="5"/>
      <c r="T313" s="20"/>
      <c r="U313" s="20"/>
      <c r="V313" s="29"/>
      <c r="W313" s="28"/>
      <c r="X313" s="19"/>
      <c r="Y313" s="19"/>
      <c r="Z313" s="5"/>
      <c r="AA313" s="19"/>
      <c r="AB313" s="5"/>
      <c r="AC313" s="5"/>
      <c r="AD313" s="5"/>
      <c r="AE313" s="5"/>
      <c r="AF313" s="30"/>
      <c r="AG313" s="30"/>
      <c r="AH313" s="30"/>
      <c r="AI313" s="30"/>
      <c r="AJ313" s="30"/>
      <c r="AK313" s="30"/>
      <c r="AL313" s="28"/>
      <c r="AM313" s="5"/>
      <c r="AN313" s="19"/>
      <c r="AO313" s="19"/>
      <c r="AP313" s="5"/>
      <c r="AQ313" s="5"/>
      <c r="AR313" s="5"/>
      <c r="AS313" s="5"/>
      <c r="AT313" s="5"/>
      <c r="AU313" s="19"/>
      <c r="AV313" s="19"/>
      <c r="AW313" s="5"/>
      <c r="AX313" s="5"/>
      <c r="AY313" s="19"/>
      <c r="AZ313" s="30"/>
      <c r="BA313" s="5"/>
      <c r="BB313" s="31" t="str">
        <f aca="false">IF(OR($T313="",$M313=""),"",$T313-$M313)</f>
        <v/>
      </c>
      <c r="BC313" s="32" t="str">
        <f aca="false">IF(OR($T313="",$M313="",$M313=0),"",($T313-$M313)/$M313)</f>
        <v/>
      </c>
      <c r="BD313" s="31" t="str">
        <f aca="false">IF(OR($U313="",$M313=""),"",$U313-$M313)</f>
        <v/>
      </c>
      <c r="BE313" s="32" t="str">
        <f aca="false">IF(OR($U313="",$M313="",$M313=0),"",($U313-$M313)/$M313)</f>
        <v/>
      </c>
      <c r="BF313" s="32" t="str">
        <f aca="false">IF(OR($U313="",$J313="",$J313=0),"",($U313-$J313)/$J313)</f>
        <v/>
      </c>
      <c r="BG313" s="32" t="str">
        <f aca="false">IF(OR($M313="",$K313="",$K313=0),"",($M313-$K313)/$K313)</f>
        <v/>
      </c>
      <c r="BH313" s="32" t="str">
        <f aca="false">IF(OR($W313="",$N313="",$N313=0),"",($W313-$N313)/$N313)</f>
        <v/>
      </c>
      <c r="BI313" s="33" t="str">
        <f aca="false">IF(OR($O313="",$X313=""),"",$O313-$X313)</f>
        <v/>
      </c>
      <c r="BJ313" s="33" t="str">
        <f aca="false">IF(OR($P313="",$Y313=""),"",$P313-$Y313)</f>
        <v/>
      </c>
      <c r="BK313" s="34" t="str">
        <f aca="false">IF(OR($AN313="",$AO313="",$AN313=0),"",$AO313/$AN313)</f>
        <v/>
      </c>
      <c r="BL313" s="34" t="str">
        <f aca="false">IF(OR($AU313="",$AV313="",$AU313=0),"",$AV313/$AU313)</f>
        <v/>
      </c>
      <c r="BM313" s="7" t="str">
        <f aca="false">IF($Z313="","",IF(AND($Z313="Y",$AB313&lt;&gt;"N",$AC313&lt;&gt;"Y"),"Y","N"))</f>
        <v/>
      </c>
      <c r="BN313" s="7" t="str">
        <f aca="false">IF($AH313="","",IF($Z313&lt;&gt;"Y","undefined",IF($AH313&lt;=1,"Y","N")))</f>
        <v/>
      </c>
      <c r="BO313" s="7" t="str">
        <f aca="false">IF($AH313="","",IF($Z313&lt;&gt;"Y","undefined",IF($AH313&lt;=10,"Y","N")))</f>
        <v/>
      </c>
      <c r="BP313" s="7" t="str">
        <f aca="false">IF($AH313="","",IF($Z313&lt;&gt;"Y","undefined",IF($AH313&lt;=100,"Y","N")))</f>
        <v/>
      </c>
    </row>
    <row r="314" customFormat="false" ht="15" hidden="false" customHeight="false" outlineLevel="0" collapsed="false">
      <c r="A314" s="7" t="str">
        <f aca="false">IF($B314="","",$B314&amp;"|"&amp;$C314&amp;"|"&amp;$F314)</f>
        <v/>
      </c>
      <c r="B314" s="5"/>
      <c r="C314" s="5"/>
      <c r="D314" s="5"/>
      <c r="E314" s="5"/>
      <c r="F314" s="5"/>
      <c r="G314" s="5"/>
      <c r="H314" s="5"/>
      <c r="I314" s="5"/>
      <c r="J314" s="20"/>
      <c r="K314" s="20"/>
      <c r="L314" s="28"/>
      <c r="M314" s="20"/>
      <c r="N314" s="28"/>
      <c r="O314" s="19"/>
      <c r="P314" s="19"/>
      <c r="Q314" s="5"/>
      <c r="R314" s="19"/>
      <c r="S314" s="5"/>
      <c r="T314" s="20"/>
      <c r="U314" s="20"/>
      <c r="V314" s="29"/>
      <c r="W314" s="28"/>
      <c r="X314" s="19"/>
      <c r="Y314" s="19"/>
      <c r="Z314" s="5"/>
      <c r="AA314" s="19"/>
      <c r="AB314" s="5"/>
      <c r="AC314" s="5"/>
      <c r="AD314" s="5"/>
      <c r="AE314" s="5"/>
      <c r="AF314" s="30"/>
      <c r="AG314" s="30"/>
      <c r="AH314" s="30"/>
      <c r="AI314" s="30"/>
      <c r="AJ314" s="30"/>
      <c r="AK314" s="30"/>
      <c r="AL314" s="28"/>
      <c r="AM314" s="5"/>
      <c r="AN314" s="19"/>
      <c r="AO314" s="19"/>
      <c r="AP314" s="5"/>
      <c r="AQ314" s="5"/>
      <c r="AR314" s="5"/>
      <c r="AS314" s="5"/>
      <c r="AT314" s="5"/>
      <c r="AU314" s="19"/>
      <c r="AV314" s="19"/>
      <c r="AW314" s="5"/>
      <c r="AX314" s="5"/>
      <c r="AY314" s="19"/>
      <c r="AZ314" s="30"/>
      <c r="BA314" s="5"/>
      <c r="BB314" s="31" t="str">
        <f aca="false">IF(OR($T314="",$M314=""),"",$T314-$M314)</f>
        <v/>
      </c>
      <c r="BC314" s="32" t="str">
        <f aca="false">IF(OR($T314="",$M314="",$M314=0),"",($T314-$M314)/$M314)</f>
        <v/>
      </c>
      <c r="BD314" s="31" t="str">
        <f aca="false">IF(OR($U314="",$M314=""),"",$U314-$M314)</f>
        <v/>
      </c>
      <c r="BE314" s="32" t="str">
        <f aca="false">IF(OR($U314="",$M314="",$M314=0),"",($U314-$M314)/$M314)</f>
        <v/>
      </c>
      <c r="BF314" s="32" t="str">
        <f aca="false">IF(OR($U314="",$J314="",$J314=0),"",($U314-$J314)/$J314)</f>
        <v/>
      </c>
      <c r="BG314" s="32" t="str">
        <f aca="false">IF(OR($M314="",$K314="",$K314=0),"",($M314-$K314)/$K314)</f>
        <v/>
      </c>
      <c r="BH314" s="32" t="str">
        <f aca="false">IF(OR($W314="",$N314="",$N314=0),"",($W314-$N314)/$N314)</f>
        <v/>
      </c>
      <c r="BI314" s="33" t="str">
        <f aca="false">IF(OR($O314="",$X314=""),"",$O314-$X314)</f>
        <v/>
      </c>
      <c r="BJ314" s="33" t="str">
        <f aca="false">IF(OR($P314="",$Y314=""),"",$P314-$Y314)</f>
        <v/>
      </c>
      <c r="BK314" s="34" t="str">
        <f aca="false">IF(OR($AN314="",$AO314="",$AN314=0),"",$AO314/$AN314)</f>
        <v/>
      </c>
      <c r="BL314" s="34" t="str">
        <f aca="false">IF(OR($AU314="",$AV314="",$AU314=0),"",$AV314/$AU314)</f>
        <v/>
      </c>
      <c r="BM314" s="7" t="str">
        <f aca="false">IF($Z314="","",IF(AND($Z314="Y",$AB314&lt;&gt;"N",$AC314&lt;&gt;"Y"),"Y","N"))</f>
        <v/>
      </c>
      <c r="BN314" s="7" t="str">
        <f aca="false">IF($AH314="","",IF($Z314&lt;&gt;"Y","undefined",IF($AH314&lt;=1,"Y","N")))</f>
        <v/>
      </c>
      <c r="BO314" s="7" t="str">
        <f aca="false">IF($AH314="","",IF($Z314&lt;&gt;"Y","undefined",IF($AH314&lt;=10,"Y","N")))</f>
        <v/>
      </c>
      <c r="BP314" s="7" t="str">
        <f aca="false">IF($AH314="","",IF($Z314&lt;&gt;"Y","undefined",IF($AH314&lt;=100,"Y","N")))</f>
        <v/>
      </c>
    </row>
    <row r="315" customFormat="false" ht="15" hidden="false" customHeight="false" outlineLevel="0" collapsed="false">
      <c r="A315" s="7" t="str">
        <f aca="false">IF($B315="","",$B315&amp;"|"&amp;$C315&amp;"|"&amp;$F315)</f>
        <v/>
      </c>
      <c r="B315" s="5"/>
      <c r="C315" s="5"/>
      <c r="D315" s="5"/>
      <c r="E315" s="5"/>
      <c r="F315" s="5"/>
      <c r="G315" s="5"/>
      <c r="H315" s="5"/>
      <c r="I315" s="5"/>
      <c r="J315" s="20"/>
      <c r="K315" s="20"/>
      <c r="L315" s="28"/>
      <c r="M315" s="20"/>
      <c r="N315" s="28"/>
      <c r="O315" s="19"/>
      <c r="P315" s="19"/>
      <c r="Q315" s="5"/>
      <c r="R315" s="19"/>
      <c r="S315" s="5"/>
      <c r="T315" s="20"/>
      <c r="U315" s="20"/>
      <c r="V315" s="29"/>
      <c r="W315" s="28"/>
      <c r="X315" s="19"/>
      <c r="Y315" s="19"/>
      <c r="Z315" s="5"/>
      <c r="AA315" s="19"/>
      <c r="AB315" s="5"/>
      <c r="AC315" s="5"/>
      <c r="AD315" s="5"/>
      <c r="AE315" s="5"/>
      <c r="AF315" s="30"/>
      <c r="AG315" s="30"/>
      <c r="AH315" s="30"/>
      <c r="AI315" s="30"/>
      <c r="AJ315" s="30"/>
      <c r="AK315" s="30"/>
      <c r="AL315" s="28"/>
      <c r="AM315" s="5"/>
      <c r="AN315" s="19"/>
      <c r="AO315" s="19"/>
      <c r="AP315" s="5"/>
      <c r="AQ315" s="5"/>
      <c r="AR315" s="5"/>
      <c r="AS315" s="5"/>
      <c r="AT315" s="5"/>
      <c r="AU315" s="19"/>
      <c r="AV315" s="19"/>
      <c r="AW315" s="5"/>
      <c r="AX315" s="5"/>
      <c r="AY315" s="19"/>
      <c r="AZ315" s="30"/>
      <c r="BA315" s="5"/>
      <c r="BB315" s="31" t="str">
        <f aca="false">IF(OR($T315="",$M315=""),"",$T315-$M315)</f>
        <v/>
      </c>
      <c r="BC315" s="32" t="str">
        <f aca="false">IF(OR($T315="",$M315="",$M315=0),"",($T315-$M315)/$M315)</f>
        <v/>
      </c>
      <c r="BD315" s="31" t="str">
        <f aca="false">IF(OR($U315="",$M315=""),"",$U315-$M315)</f>
        <v/>
      </c>
      <c r="BE315" s="32" t="str">
        <f aca="false">IF(OR($U315="",$M315="",$M315=0),"",($U315-$M315)/$M315)</f>
        <v/>
      </c>
      <c r="BF315" s="32" t="str">
        <f aca="false">IF(OR($U315="",$J315="",$J315=0),"",($U315-$J315)/$J315)</f>
        <v/>
      </c>
      <c r="BG315" s="32" t="str">
        <f aca="false">IF(OR($M315="",$K315="",$K315=0),"",($M315-$K315)/$K315)</f>
        <v/>
      </c>
      <c r="BH315" s="32" t="str">
        <f aca="false">IF(OR($W315="",$N315="",$N315=0),"",($W315-$N315)/$N315)</f>
        <v/>
      </c>
      <c r="BI315" s="33" t="str">
        <f aca="false">IF(OR($O315="",$X315=""),"",$O315-$X315)</f>
        <v/>
      </c>
      <c r="BJ315" s="33" t="str">
        <f aca="false">IF(OR($P315="",$Y315=""),"",$P315-$Y315)</f>
        <v/>
      </c>
      <c r="BK315" s="34" t="str">
        <f aca="false">IF(OR($AN315="",$AO315="",$AN315=0),"",$AO315/$AN315)</f>
        <v/>
      </c>
      <c r="BL315" s="34" t="str">
        <f aca="false">IF(OR($AU315="",$AV315="",$AU315=0),"",$AV315/$AU315)</f>
        <v/>
      </c>
      <c r="BM315" s="7" t="str">
        <f aca="false">IF($Z315="","",IF(AND($Z315="Y",$AB315&lt;&gt;"N",$AC315&lt;&gt;"Y"),"Y","N"))</f>
        <v/>
      </c>
      <c r="BN315" s="7" t="str">
        <f aca="false">IF($AH315="","",IF($Z315&lt;&gt;"Y","undefined",IF($AH315&lt;=1,"Y","N")))</f>
        <v/>
      </c>
      <c r="BO315" s="7" t="str">
        <f aca="false">IF($AH315="","",IF($Z315&lt;&gt;"Y","undefined",IF($AH315&lt;=10,"Y","N")))</f>
        <v/>
      </c>
      <c r="BP315" s="7" t="str">
        <f aca="false">IF($AH315="","",IF($Z315&lt;&gt;"Y","undefined",IF($AH315&lt;=100,"Y","N")))</f>
        <v/>
      </c>
    </row>
    <row r="316" customFormat="false" ht="15" hidden="false" customHeight="false" outlineLevel="0" collapsed="false">
      <c r="A316" s="7" t="str">
        <f aca="false">IF($B316="","",$B316&amp;"|"&amp;$C316&amp;"|"&amp;$F316)</f>
        <v/>
      </c>
      <c r="B316" s="5"/>
      <c r="C316" s="5"/>
      <c r="D316" s="5"/>
      <c r="E316" s="5"/>
      <c r="F316" s="5"/>
      <c r="G316" s="5"/>
      <c r="H316" s="5"/>
      <c r="I316" s="5"/>
      <c r="J316" s="20"/>
      <c r="K316" s="20"/>
      <c r="L316" s="28"/>
      <c r="M316" s="20"/>
      <c r="N316" s="28"/>
      <c r="O316" s="19"/>
      <c r="P316" s="19"/>
      <c r="Q316" s="5"/>
      <c r="R316" s="19"/>
      <c r="S316" s="5"/>
      <c r="T316" s="20"/>
      <c r="U316" s="20"/>
      <c r="V316" s="29"/>
      <c r="W316" s="28"/>
      <c r="X316" s="19"/>
      <c r="Y316" s="19"/>
      <c r="Z316" s="5"/>
      <c r="AA316" s="19"/>
      <c r="AB316" s="5"/>
      <c r="AC316" s="5"/>
      <c r="AD316" s="5"/>
      <c r="AE316" s="5"/>
      <c r="AF316" s="30"/>
      <c r="AG316" s="30"/>
      <c r="AH316" s="30"/>
      <c r="AI316" s="30"/>
      <c r="AJ316" s="30"/>
      <c r="AK316" s="30"/>
      <c r="AL316" s="28"/>
      <c r="AM316" s="5"/>
      <c r="AN316" s="19"/>
      <c r="AO316" s="19"/>
      <c r="AP316" s="5"/>
      <c r="AQ316" s="5"/>
      <c r="AR316" s="5"/>
      <c r="AS316" s="5"/>
      <c r="AT316" s="5"/>
      <c r="AU316" s="19"/>
      <c r="AV316" s="19"/>
      <c r="AW316" s="5"/>
      <c r="AX316" s="5"/>
      <c r="AY316" s="19"/>
      <c r="AZ316" s="30"/>
      <c r="BA316" s="5"/>
      <c r="BB316" s="31" t="str">
        <f aca="false">IF(OR($T316="",$M316=""),"",$T316-$M316)</f>
        <v/>
      </c>
      <c r="BC316" s="32" t="str">
        <f aca="false">IF(OR($T316="",$M316="",$M316=0),"",($T316-$M316)/$M316)</f>
        <v/>
      </c>
      <c r="BD316" s="31" t="str">
        <f aca="false">IF(OR($U316="",$M316=""),"",$U316-$M316)</f>
        <v/>
      </c>
      <c r="BE316" s="32" t="str">
        <f aca="false">IF(OR($U316="",$M316="",$M316=0),"",($U316-$M316)/$M316)</f>
        <v/>
      </c>
      <c r="BF316" s="32" t="str">
        <f aca="false">IF(OR($U316="",$J316="",$J316=0),"",($U316-$J316)/$J316)</f>
        <v/>
      </c>
      <c r="BG316" s="32" t="str">
        <f aca="false">IF(OR($M316="",$K316="",$K316=0),"",($M316-$K316)/$K316)</f>
        <v/>
      </c>
      <c r="BH316" s="32" t="str">
        <f aca="false">IF(OR($W316="",$N316="",$N316=0),"",($W316-$N316)/$N316)</f>
        <v/>
      </c>
      <c r="BI316" s="33" t="str">
        <f aca="false">IF(OR($O316="",$X316=""),"",$O316-$X316)</f>
        <v/>
      </c>
      <c r="BJ316" s="33" t="str">
        <f aca="false">IF(OR($P316="",$Y316=""),"",$P316-$Y316)</f>
        <v/>
      </c>
      <c r="BK316" s="34" t="str">
        <f aca="false">IF(OR($AN316="",$AO316="",$AN316=0),"",$AO316/$AN316)</f>
        <v/>
      </c>
      <c r="BL316" s="34" t="str">
        <f aca="false">IF(OR($AU316="",$AV316="",$AU316=0),"",$AV316/$AU316)</f>
        <v/>
      </c>
      <c r="BM316" s="7" t="str">
        <f aca="false">IF($Z316="","",IF(AND($Z316="Y",$AB316&lt;&gt;"N",$AC316&lt;&gt;"Y"),"Y","N"))</f>
        <v/>
      </c>
      <c r="BN316" s="7" t="str">
        <f aca="false">IF($AH316="","",IF($Z316&lt;&gt;"Y","undefined",IF($AH316&lt;=1,"Y","N")))</f>
        <v/>
      </c>
      <c r="BO316" s="7" t="str">
        <f aca="false">IF($AH316="","",IF($Z316&lt;&gt;"Y","undefined",IF($AH316&lt;=10,"Y","N")))</f>
        <v/>
      </c>
      <c r="BP316" s="7" t="str">
        <f aca="false">IF($AH316="","",IF($Z316&lt;&gt;"Y","undefined",IF($AH316&lt;=100,"Y","N")))</f>
        <v/>
      </c>
    </row>
    <row r="317" customFormat="false" ht="15" hidden="false" customHeight="false" outlineLevel="0" collapsed="false">
      <c r="A317" s="7" t="str">
        <f aca="false">IF($B317="","",$B317&amp;"|"&amp;$C317&amp;"|"&amp;$F317)</f>
        <v/>
      </c>
      <c r="B317" s="5"/>
      <c r="C317" s="5"/>
      <c r="D317" s="5"/>
      <c r="E317" s="5"/>
      <c r="F317" s="5"/>
      <c r="G317" s="5"/>
      <c r="H317" s="5"/>
      <c r="I317" s="5"/>
      <c r="J317" s="20"/>
      <c r="K317" s="20"/>
      <c r="L317" s="28"/>
      <c r="M317" s="20"/>
      <c r="N317" s="28"/>
      <c r="O317" s="19"/>
      <c r="P317" s="19"/>
      <c r="Q317" s="5"/>
      <c r="R317" s="19"/>
      <c r="S317" s="5"/>
      <c r="T317" s="20"/>
      <c r="U317" s="20"/>
      <c r="V317" s="29"/>
      <c r="W317" s="28"/>
      <c r="X317" s="19"/>
      <c r="Y317" s="19"/>
      <c r="Z317" s="5"/>
      <c r="AA317" s="19"/>
      <c r="AB317" s="5"/>
      <c r="AC317" s="5"/>
      <c r="AD317" s="5"/>
      <c r="AE317" s="5"/>
      <c r="AF317" s="30"/>
      <c r="AG317" s="30"/>
      <c r="AH317" s="30"/>
      <c r="AI317" s="30"/>
      <c r="AJ317" s="30"/>
      <c r="AK317" s="30"/>
      <c r="AL317" s="28"/>
      <c r="AM317" s="5"/>
      <c r="AN317" s="19"/>
      <c r="AO317" s="19"/>
      <c r="AP317" s="5"/>
      <c r="AQ317" s="5"/>
      <c r="AR317" s="5"/>
      <c r="AS317" s="5"/>
      <c r="AT317" s="5"/>
      <c r="AU317" s="19"/>
      <c r="AV317" s="19"/>
      <c r="AW317" s="5"/>
      <c r="AX317" s="5"/>
      <c r="AY317" s="19"/>
      <c r="AZ317" s="30"/>
      <c r="BA317" s="5"/>
      <c r="BB317" s="31" t="str">
        <f aca="false">IF(OR($T317="",$M317=""),"",$T317-$M317)</f>
        <v/>
      </c>
      <c r="BC317" s="32" t="str">
        <f aca="false">IF(OR($T317="",$M317="",$M317=0),"",($T317-$M317)/$M317)</f>
        <v/>
      </c>
      <c r="BD317" s="31" t="str">
        <f aca="false">IF(OR($U317="",$M317=""),"",$U317-$M317)</f>
        <v/>
      </c>
      <c r="BE317" s="32" t="str">
        <f aca="false">IF(OR($U317="",$M317="",$M317=0),"",($U317-$M317)/$M317)</f>
        <v/>
      </c>
      <c r="BF317" s="32" t="str">
        <f aca="false">IF(OR($U317="",$J317="",$J317=0),"",($U317-$J317)/$J317)</f>
        <v/>
      </c>
      <c r="BG317" s="32" t="str">
        <f aca="false">IF(OR($M317="",$K317="",$K317=0),"",($M317-$K317)/$K317)</f>
        <v/>
      </c>
      <c r="BH317" s="32" t="str">
        <f aca="false">IF(OR($W317="",$N317="",$N317=0),"",($W317-$N317)/$N317)</f>
        <v/>
      </c>
      <c r="BI317" s="33" t="str">
        <f aca="false">IF(OR($O317="",$X317=""),"",$O317-$X317)</f>
        <v/>
      </c>
      <c r="BJ317" s="33" t="str">
        <f aca="false">IF(OR($P317="",$Y317=""),"",$P317-$Y317)</f>
        <v/>
      </c>
      <c r="BK317" s="34" t="str">
        <f aca="false">IF(OR($AN317="",$AO317="",$AN317=0),"",$AO317/$AN317)</f>
        <v/>
      </c>
      <c r="BL317" s="34" t="str">
        <f aca="false">IF(OR($AU317="",$AV317="",$AU317=0),"",$AV317/$AU317)</f>
        <v/>
      </c>
      <c r="BM317" s="7" t="str">
        <f aca="false">IF($Z317="","",IF(AND($Z317="Y",$AB317&lt;&gt;"N",$AC317&lt;&gt;"Y"),"Y","N"))</f>
        <v/>
      </c>
      <c r="BN317" s="7" t="str">
        <f aca="false">IF($AH317="","",IF($Z317&lt;&gt;"Y","undefined",IF($AH317&lt;=1,"Y","N")))</f>
        <v/>
      </c>
      <c r="BO317" s="7" t="str">
        <f aca="false">IF($AH317="","",IF($Z317&lt;&gt;"Y","undefined",IF($AH317&lt;=10,"Y","N")))</f>
        <v/>
      </c>
      <c r="BP317" s="7" t="str">
        <f aca="false">IF($AH317="","",IF($Z317&lt;&gt;"Y","undefined",IF($AH317&lt;=100,"Y","N")))</f>
        <v/>
      </c>
    </row>
    <row r="318" customFormat="false" ht="15" hidden="false" customHeight="false" outlineLevel="0" collapsed="false">
      <c r="A318" s="7" t="str">
        <f aca="false">IF($B318="","",$B318&amp;"|"&amp;$C318&amp;"|"&amp;$F318)</f>
        <v/>
      </c>
      <c r="B318" s="5"/>
      <c r="C318" s="5"/>
      <c r="D318" s="5"/>
      <c r="E318" s="5"/>
      <c r="F318" s="5"/>
      <c r="G318" s="5"/>
      <c r="H318" s="5"/>
      <c r="I318" s="5"/>
      <c r="J318" s="20"/>
      <c r="K318" s="20"/>
      <c r="L318" s="28"/>
      <c r="M318" s="20"/>
      <c r="N318" s="28"/>
      <c r="O318" s="19"/>
      <c r="P318" s="19"/>
      <c r="Q318" s="5"/>
      <c r="R318" s="19"/>
      <c r="S318" s="5"/>
      <c r="T318" s="20"/>
      <c r="U318" s="20"/>
      <c r="V318" s="29"/>
      <c r="W318" s="28"/>
      <c r="X318" s="19"/>
      <c r="Y318" s="19"/>
      <c r="Z318" s="5"/>
      <c r="AA318" s="19"/>
      <c r="AB318" s="5"/>
      <c r="AC318" s="5"/>
      <c r="AD318" s="5"/>
      <c r="AE318" s="5"/>
      <c r="AF318" s="30"/>
      <c r="AG318" s="30"/>
      <c r="AH318" s="30"/>
      <c r="AI318" s="30"/>
      <c r="AJ318" s="30"/>
      <c r="AK318" s="30"/>
      <c r="AL318" s="28"/>
      <c r="AM318" s="5"/>
      <c r="AN318" s="19"/>
      <c r="AO318" s="19"/>
      <c r="AP318" s="5"/>
      <c r="AQ318" s="5"/>
      <c r="AR318" s="5"/>
      <c r="AS318" s="5"/>
      <c r="AT318" s="5"/>
      <c r="AU318" s="19"/>
      <c r="AV318" s="19"/>
      <c r="AW318" s="5"/>
      <c r="AX318" s="5"/>
      <c r="AY318" s="19"/>
      <c r="AZ318" s="30"/>
      <c r="BA318" s="5"/>
      <c r="BB318" s="31" t="str">
        <f aca="false">IF(OR($T318="",$M318=""),"",$T318-$M318)</f>
        <v/>
      </c>
      <c r="BC318" s="32" t="str">
        <f aca="false">IF(OR($T318="",$M318="",$M318=0),"",($T318-$M318)/$M318)</f>
        <v/>
      </c>
      <c r="BD318" s="31" t="str">
        <f aca="false">IF(OR($U318="",$M318=""),"",$U318-$M318)</f>
        <v/>
      </c>
      <c r="BE318" s="32" t="str">
        <f aca="false">IF(OR($U318="",$M318="",$M318=0),"",($U318-$M318)/$M318)</f>
        <v/>
      </c>
      <c r="BF318" s="32" t="str">
        <f aca="false">IF(OR($U318="",$J318="",$J318=0),"",($U318-$J318)/$J318)</f>
        <v/>
      </c>
      <c r="BG318" s="32" t="str">
        <f aca="false">IF(OR($M318="",$K318="",$K318=0),"",($M318-$K318)/$K318)</f>
        <v/>
      </c>
      <c r="BH318" s="32" t="str">
        <f aca="false">IF(OR($W318="",$N318="",$N318=0),"",($W318-$N318)/$N318)</f>
        <v/>
      </c>
      <c r="BI318" s="33" t="str">
        <f aca="false">IF(OR($O318="",$X318=""),"",$O318-$X318)</f>
        <v/>
      </c>
      <c r="BJ318" s="33" t="str">
        <f aca="false">IF(OR($P318="",$Y318=""),"",$P318-$Y318)</f>
        <v/>
      </c>
      <c r="BK318" s="34" t="str">
        <f aca="false">IF(OR($AN318="",$AO318="",$AN318=0),"",$AO318/$AN318)</f>
        <v/>
      </c>
      <c r="BL318" s="34" t="str">
        <f aca="false">IF(OR($AU318="",$AV318="",$AU318=0),"",$AV318/$AU318)</f>
        <v/>
      </c>
      <c r="BM318" s="7" t="str">
        <f aca="false">IF($Z318="","",IF(AND($Z318="Y",$AB318&lt;&gt;"N",$AC318&lt;&gt;"Y"),"Y","N"))</f>
        <v/>
      </c>
      <c r="BN318" s="7" t="str">
        <f aca="false">IF($AH318="","",IF($Z318&lt;&gt;"Y","undefined",IF($AH318&lt;=1,"Y","N")))</f>
        <v/>
      </c>
      <c r="BO318" s="7" t="str">
        <f aca="false">IF($AH318="","",IF($Z318&lt;&gt;"Y","undefined",IF($AH318&lt;=10,"Y","N")))</f>
        <v/>
      </c>
      <c r="BP318" s="7" t="str">
        <f aca="false">IF($AH318="","",IF($Z318&lt;&gt;"Y","undefined",IF($AH318&lt;=100,"Y","N")))</f>
        <v/>
      </c>
    </row>
    <row r="319" customFormat="false" ht="15" hidden="false" customHeight="false" outlineLevel="0" collapsed="false">
      <c r="A319" s="7" t="str">
        <f aca="false">IF($B319="","",$B319&amp;"|"&amp;$C319&amp;"|"&amp;$F319)</f>
        <v/>
      </c>
      <c r="B319" s="5"/>
      <c r="C319" s="5"/>
      <c r="D319" s="5"/>
      <c r="E319" s="5"/>
      <c r="F319" s="5"/>
      <c r="G319" s="5"/>
      <c r="H319" s="5"/>
      <c r="I319" s="5"/>
      <c r="J319" s="20"/>
      <c r="K319" s="20"/>
      <c r="L319" s="28"/>
      <c r="M319" s="20"/>
      <c r="N319" s="28"/>
      <c r="O319" s="19"/>
      <c r="P319" s="19"/>
      <c r="Q319" s="5"/>
      <c r="R319" s="19"/>
      <c r="S319" s="5"/>
      <c r="T319" s="20"/>
      <c r="U319" s="20"/>
      <c r="V319" s="29"/>
      <c r="W319" s="28"/>
      <c r="X319" s="19"/>
      <c r="Y319" s="19"/>
      <c r="Z319" s="5"/>
      <c r="AA319" s="19"/>
      <c r="AB319" s="5"/>
      <c r="AC319" s="5"/>
      <c r="AD319" s="5"/>
      <c r="AE319" s="5"/>
      <c r="AF319" s="30"/>
      <c r="AG319" s="30"/>
      <c r="AH319" s="30"/>
      <c r="AI319" s="30"/>
      <c r="AJ319" s="30"/>
      <c r="AK319" s="30"/>
      <c r="AL319" s="28"/>
      <c r="AM319" s="5"/>
      <c r="AN319" s="19"/>
      <c r="AO319" s="19"/>
      <c r="AP319" s="5"/>
      <c r="AQ319" s="5"/>
      <c r="AR319" s="5"/>
      <c r="AS319" s="5"/>
      <c r="AT319" s="5"/>
      <c r="AU319" s="19"/>
      <c r="AV319" s="19"/>
      <c r="AW319" s="5"/>
      <c r="AX319" s="5"/>
      <c r="AY319" s="19"/>
      <c r="AZ319" s="30"/>
      <c r="BA319" s="5"/>
      <c r="BB319" s="31" t="str">
        <f aca="false">IF(OR($T319="",$M319=""),"",$T319-$M319)</f>
        <v/>
      </c>
      <c r="BC319" s="32" t="str">
        <f aca="false">IF(OR($T319="",$M319="",$M319=0),"",($T319-$M319)/$M319)</f>
        <v/>
      </c>
      <c r="BD319" s="31" t="str">
        <f aca="false">IF(OR($U319="",$M319=""),"",$U319-$M319)</f>
        <v/>
      </c>
      <c r="BE319" s="32" t="str">
        <f aca="false">IF(OR($U319="",$M319="",$M319=0),"",($U319-$M319)/$M319)</f>
        <v/>
      </c>
      <c r="BF319" s="32" t="str">
        <f aca="false">IF(OR($U319="",$J319="",$J319=0),"",($U319-$J319)/$J319)</f>
        <v/>
      </c>
      <c r="BG319" s="32" t="str">
        <f aca="false">IF(OR($M319="",$K319="",$K319=0),"",($M319-$K319)/$K319)</f>
        <v/>
      </c>
      <c r="BH319" s="32" t="str">
        <f aca="false">IF(OR($W319="",$N319="",$N319=0),"",($W319-$N319)/$N319)</f>
        <v/>
      </c>
      <c r="BI319" s="33" t="str">
        <f aca="false">IF(OR($O319="",$X319=""),"",$O319-$X319)</f>
        <v/>
      </c>
      <c r="BJ319" s="33" t="str">
        <f aca="false">IF(OR($P319="",$Y319=""),"",$P319-$Y319)</f>
        <v/>
      </c>
      <c r="BK319" s="34" t="str">
        <f aca="false">IF(OR($AN319="",$AO319="",$AN319=0),"",$AO319/$AN319)</f>
        <v/>
      </c>
      <c r="BL319" s="34" t="str">
        <f aca="false">IF(OR($AU319="",$AV319="",$AU319=0),"",$AV319/$AU319)</f>
        <v/>
      </c>
      <c r="BM319" s="7" t="str">
        <f aca="false">IF($Z319="","",IF(AND($Z319="Y",$AB319&lt;&gt;"N",$AC319&lt;&gt;"Y"),"Y","N"))</f>
        <v/>
      </c>
      <c r="BN319" s="7" t="str">
        <f aca="false">IF($AH319="","",IF($Z319&lt;&gt;"Y","undefined",IF($AH319&lt;=1,"Y","N")))</f>
        <v/>
      </c>
      <c r="BO319" s="7" t="str">
        <f aca="false">IF($AH319="","",IF($Z319&lt;&gt;"Y","undefined",IF($AH319&lt;=10,"Y","N")))</f>
        <v/>
      </c>
      <c r="BP319" s="7" t="str">
        <f aca="false">IF($AH319="","",IF($Z319&lt;&gt;"Y","undefined",IF($AH319&lt;=100,"Y","N")))</f>
        <v/>
      </c>
    </row>
    <row r="320" customFormat="false" ht="15" hidden="false" customHeight="false" outlineLevel="0" collapsed="false">
      <c r="A320" s="7" t="str">
        <f aca="false">IF($B320="","",$B320&amp;"|"&amp;$C320&amp;"|"&amp;$F320)</f>
        <v/>
      </c>
      <c r="B320" s="5"/>
      <c r="C320" s="5"/>
      <c r="D320" s="5"/>
      <c r="E320" s="5"/>
      <c r="F320" s="5"/>
      <c r="G320" s="5"/>
      <c r="H320" s="5"/>
      <c r="I320" s="5"/>
      <c r="J320" s="20"/>
      <c r="K320" s="20"/>
      <c r="L320" s="28"/>
      <c r="M320" s="20"/>
      <c r="N320" s="28"/>
      <c r="O320" s="19"/>
      <c r="P320" s="19"/>
      <c r="Q320" s="5"/>
      <c r="R320" s="19"/>
      <c r="S320" s="5"/>
      <c r="T320" s="20"/>
      <c r="U320" s="20"/>
      <c r="V320" s="29"/>
      <c r="W320" s="28"/>
      <c r="X320" s="19"/>
      <c r="Y320" s="19"/>
      <c r="Z320" s="5"/>
      <c r="AA320" s="19"/>
      <c r="AB320" s="5"/>
      <c r="AC320" s="5"/>
      <c r="AD320" s="5"/>
      <c r="AE320" s="5"/>
      <c r="AF320" s="30"/>
      <c r="AG320" s="30"/>
      <c r="AH320" s="30"/>
      <c r="AI320" s="30"/>
      <c r="AJ320" s="30"/>
      <c r="AK320" s="30"/>
      <c r="AL320" s="28"/>
      <c r="AM320" s="5"/>
      <c r="AN320" s="19"/>
      <c r="AO320" s="19"/>
      <c r="AP320" s="5"/>
      <c r="AQ320" s="5"/>
      <c r="AR320" s="5"/>
      <c r="AS320" s="5"/>
      <c r="AT320" s="5"/>
      <c r="AU320" s="19"/>
      <c r="AV320" s="19"/>
      <c r="AW320" s="5"/>
      <c r="AX320" s="5"/>
      <c r="AY320" s="19"/>
      <c r="AZ320" s="30"/>
      <c r="BA320" s="5"/>
      <c r="BB320" s="31" t="str">
        <f aca="false">IF(OR($T320="",$M320=""),"",$T320-$M320)</f>
        <v/>
      </c>
      <c r="BC320" s="32" t="str">
        <f aca="false">IF(OR($T320="",$M320="",$M320=0),"",($T320-$M320)/$M320)</f>
        <v/>
      </c>
      <c r="BD320" s="31" t="str">
        <f aca="false">IF(OR($U320="",$M320=""),"",$U320-$M320)</f>
        <v/>
      </c>
      <c r="BE320" s="32" t="str">
        <f aca="false">IF(OR($U320="",$M320="",$M320=0),"",($U320-$M320)/$M320)</f>
        <v/>
      </c>
      <c r="BF320" s="32" t="str">
        <f aca="false">IF(OR($U320="",$J320="",$J320=0),"",($U320-$J320)/$J320)</f>
        <v/>
      </c>
      <c r="BG320" s="32" t="str">
        <f aca="false">IF(OR($M320="",$K320="",$K320=0),"",($M320-$K320)/$K320)</f>
        <v/>
      </c>
      <c r="BH320" s="32" t="str">
        <f aca="false">IF(OR($W320="",$N320="",$N320=0),"",($W320-$N320)/$N320)</f>
        <v/>
      </c>
      <c r="BI320" s="33" t="str">
        <f aca="false">IF(OR($O320="",$X320=""),"",$O320-$X320)</f>
        <v/>
      </c>
      <c r="BJ320" s="33" t="str">
        <f aca="false">IF(OR($P320="",$Y320=""),"",$P320-$Y320)</f>
        <v/>
      </c>
      <c r="BK320" s="34" t="str">
        <f aca="false">IF(OR($AN320="",$AO320="",$AN320=0),"",$AO320/$AN320)</f>
        <v/>
      </c>
      <c r="BL320" s="34" t="str">
        <f aca="false">IF(OR($AU320="",$AV320="",$AU320=0),"",$AV320/$AU320)</f>
        <v/>
      </c>
      <c r="BM320" s="7" t="str">
        <f aca="false">IF($Z320="","",IF(AND($Z320="Y",$AB320&lt;&gt;"N",$AC320&lt;&gt;"Y"),"Y","N"))</f>
        <v/>
      </c>
      <c r="BN320" s="7" t="str">
        <f aca="false">IF($AH320="","",IF($Z320&lt;&gt;"Y","undefined",IF($AH320&lt;=1,"Y","N")))</f>
        <v/>
      </c>
      <c r="BO320" s="7" t="str">
        <f aca="false">IF($AH320="","",IF($Z320&lt;&gt;"Y","undefined",IF($AH320&lt;=10,"Y","N")))</f>
        <v/>
      </c>
      <c r="BP320" s="7" t="str">
        <f aca="false">IF($AH320="","",IF($Z320&lt;&gt;"Y","undefined",IF($AH320&lt;=100,"Y","N")))</f>
        <v/>
      </c>
    </row>
    <row r="321" customFormat="false" ht="15" hidden="false" customHeight="false" outlineLevel="0" collapsed="false">
      <c r="A321" s="7" t="str">
        <f aca="false">IF($B321="","",$B321&amp;"|"&amp;$C321&amp;"|"&amp;$F321)</f>
        <v/>
      </c>
      <c r="B321" s="5"/>
      <c r="C321" s="5"/>
      <c r="D321" s="5"/>
      <c r="E321" s="5"/>
      <c r="F321" s="5"/>
      <c r="G321" s="5"/>
      <c r="H321" s="5"/>
      <c r="I321" s="5"/>
      <c r="J321" s="20"/>
      <c r="K321" s="20"/>
      <c r="L321" s="28"/>
      <c r="M321" s="20"/>
      <c r="N321" s="28"/>
      <c r="O321" s="19"/>
      <c r="P321" s="19"/>
      <c r="Q321" s="5"/>
      <c r="R321" s="19"/>
      <c r="S321" s="5"/>
      <c r="T321" s="20"/>
      <c r="U321" s="20"/>
      <c r="V321" s="29"/>
      <c r="W321" s="28"/>
      <c r="X321" s="19"/>
      <c r="Y321" s="19"/>
      <c r="Z321" s="5"/>
      <c r="AA321" s="19"/>
      <c r="AB321" s="5"/>
      <c r="AC321" s="5"/>
      <c r="AD321" s="5"/>
      <c r="AE321" s="5"/>
      <c r="AF321" s="30"/>
      <c r="AG321" s="30"/>
      <c r="AH321" s="30"/>
      <c r="AI321" s="30"/>
      <c r="AJ321" s="30"/>
      <c r="AK321" s="30"/>
      <c r="AL321" s="28"/>
      <c r="AM321" s="5"/>
      <c r="AN321" s="19"/>
      <c r="AO321" s="19"/>
      <c r="AP321" s="5"/>
      <c r="AQ321" s="5"/>
      <c r="AR321" s="5"/>
      <c r="AS321" s="5"/>
      <c r="AT321" s="5"/>
      <c r="AU321" s="19"/>
      <c r="AV321" s="19"/>
      <c r="AW321" s="5"/>
      <c r="AX321" s="5"/>
      <c r="AY321" s="19"/>
      <c r="AZ321" s="30"/>
      <c r="BA321" s="5"/>
      <c r="BB321" s="31" t="str">
        <f aca="false">IF(OR($T321="",$M321=""),"",$T321-$M321)</f>
        <v/>
      </c>
      <c r="BC321" s="32" t="str">
        <f aca="false">IF(OR($T321="",$M321="",$M321=0),"",($T321-$M321)/$M321)</f>
        <v/>
      </c>
      <c r="BD321" s="31" t="str">
        <f aca="false">IF(OR($U321="",$M321=""),"",$U321-$M321)</f>
        <v/>
      </c>
      <c r="BE321" s="32" t="str">
        <f aca="false">IF(OR($U321="",$M321="",$M321=0),"",($U321-$M321)/$M321)</f>
        <v/>
      </c>
      <c r="BF321" s="32" t="str">
        <f aca="false">IF(OR($U321="",$J321="",$J321=0),"",($U321-$J321)/$J321)</f>
        <v/>
      </c>
      <c r="BG321" s="32" t="str">
        <f aca="false">IF(OR($M321="",$K321="",$K321=0),"",($M321-$K321)/$K321)</f>
        <v/>
      </c>
      <c r="BH321" s="32" t="str">
        <f aca="false">IF(OR($W321="",$N321="",$N321=0),"",($W321-$N321)/$N321)</f>
        <v/>
      </c>
      <c r="BI321" s="33" t="str">
        <f aca="false">IF(OR($O321="",$X321=""),"",$O321-$X321)</f>
        <v/>
      </c>
      <c r="BJ321" s="33" t="str">
        <f aca="false">IF(OR($P321="",$Y321=""),"",$P321-$Y321)</f>
        <v/>
      </c>
      <c r="BK321" s="34" t="str">
        <f aca="false">IF(OR($AN321="",$AO321="",$AN321=0),"",$AO321/$AN321)</f>
        <v/>
      </c>
      <c r="BL321" s="34" t="str">
        <f aca="false">IF(OR($AU321="",$AV321="",$AU321=0),"",$AV321/$AU321)</f>
        <v/>
      </c>
      <c r="BM321" s="7" t="str">
        <f aca="false">IF($Z321="","",IF(AND($Z321="Y",$AB321&lt;&gt;"N",$AC321&lt;&gt;"Y"),"Y","N"))</f>
        <v/>
      </c>
      <c r="BN321" s="7" t="str">
        <f aca="false">IF($AH321="","",IF($Z321&lt;&gt;"Y","undefined",IF($AH321&lt;=1,"Y","N")))</f>
        <v/>
      </c>
      <c r="BO321" s="7" t="str">
        <f aca="false">IF($AH321="","",IF($Z321&lt;&gt;"Y","undefined",IF($AH321&lt;=10,"Y","N")))</f>
        <v/>
      </c>
      <c r="BP321" s="7" t="str">
        <f aca="false">IF($AH321="","",IF($Z321&lt;&gt;"Y","undefined",IF($AH321&lt;=100,"Y","N")))</f>
        <v/>
      </c>
    </row>
    <row r="322" customFormat="false" ht="15" hidden="false" customHeight="false" outlineLevel="0" collapsed="false">
      <c r="A322" s="7" t="str">
        <f aca="false">IF($B322="","",$B322&amp;"|"&amp;$C322&amp;"|"&amp;$F322)</f>
        <v/>
      </c>
      <c r="B322" s="5"/>
      <c r="C322" s="5"/>
      <c r="D322" s="5"/>
      <c r="E322" s="5"/>
      <c r="F322" s="5"/>
      <c r="G322" s="5"/>
      <c r="H322" s="5"/>
      <c r="I322" s="5"/>
      <c r="J322" s="20"/>
      <c r="K322" s="20"/>
      <c r="L322" s="28"/>
      <c r="M322" s="20"/>
      <c r="N322" s="28"/>
      <c r="O322" s="19"/>
      <c r="P322" s="19"/>
      <c r="Q322" s="5"/>
      <c r="R322" s="19"/>
      <c r="S322" s="5"/>
      <c r="T322" s="20"/>
      <c r="U322" s="20"/>
      <c r="V322" s="29"/>
      <c r="W322" s="28"/>
      <c r="X322" s="19"/>
      <c r="Y322" s="19"/>
      <c r="Z322" s="5"/>
      <c r="AA322" s="19"/>
      <c r="AB322" s="5"/>
      <c r="AC322" s="5"/>
      <c r="AD322" s="5"/>
      <c r="AE322" s="5"/>
      <c r="AF322" s="30"/>
      <c r="AG322" s="30"/>
      <c r="AH322" s="30"/>
      <c r="AI322" s="30"/>
      <c r="AJ322" s="30"/>
      <c r="AK322" s="30"/>
      <c r="AL322" s="28"/>
      <c r="AM322" s="5"/>
      <c r="AN322" s="19"/>
      <c r="AO322" s="19"/>
      <c r="AP322" s="5"/>
      <c r="AQ322" s="5"/>
      <c r="AR322" s="5"/>
      <c r="AS322" s="5"/>
      <c r="AT322" s="5"/>
      <c r="AU322" s="19"/>
      <c r="AV322" s="19"/>
      <c r="AW322" s="5"/>
      <c r="AX322" s="5"/>
      <c r="AY322" s="19"/>
      <c r="AZ322" s="30"/>
      <c r="BA322" s="5"/>
      <c r="BB322" s="31" t="str">
        <f aca="false">IF(OR($T322="",$M322=""),"",$T322-$M322)</f>
        <v/>
      </c>
      <c r="BC322" s="32" t="str">
        <f aca="false">IF(OR($T322="",$M322="",$M322=0),"",($T322-$M322)/$M322)</f>
        <v/>
      </c>
      <c r="BD322" s="31" t="str">
        <f aca="false">IF(OR($U322="",$M322=""),"",$U322-$M322)</f>
        <v/>
      </c>
      <c r="BE322" s="32" t="str">
        <f aca="false">IF(OR($U322="",$M322="",$M322=0),"",($U322-$M322)/$M322)</f>
        <v/>
      </c>
      <c r="BF322" s="32" t="str">
        <f aca="false">IF(OR($U322="",$J322="",$J322=0),"",($U322-$J322)/$J322)</f>
        <v/>
      </c>
      <c r="BG322" s="32" t="str">
        <f aca="false">IF(OR($M322="",$K322="",$K322=0),"",($M322-$K322)/$K322)</f>
        <v/>
      </c>
      <c r="BH322" s="32" t="str">
        <f aca="false">IF(OR($W322="",$N322="",$N322=0),"",($W322-$N322)/$N322)</f>
        <v/>
      </c>
      <c r="BI322" s="33" t="str">
        <f aca="false">IF(OR($O322="",$X322=""),"",$O322-$X322)</f>
        <v/>
      </c>
      <c r="BJ322" s="33" t="str">
        <f aca="false">IF(OR($P322="",$Y322=""),"",$P322-$Y322)</f>
        <v/>
      </c>
      <c r="BK322" s="34" t="str">
        <f aca="false">IF(OR($AN322="",$AO322="",$AN322=0),"",$AO322/$AN322)</f>
        <v/>
      </c>
      <c r="BL322" s="34" t="str">
        <f aca="false">IF(OR($AU322="",$AV322="",$AU322=0),"",$AV322/$AU322)</f>
        <v/>
      </c>
      <c r="BM322" s="7" t="str">
        <f aca="false">IF($Z322="","",IF(AND($Z322="Y",$AB322&lt;&gt;"N",$AC322&lt;&gt;"Y"),"Y","N"))</f>
        <v/>
      </c>
      <c r="BN322" s="7" t="str">
        <f aca="false">IF($AH322="","",IF($Z322&lt;&gt;"Y","undefined",IF($AH322&lt;=1,"Y","N")))</f>
        <v/>
      </c>
      <c r="BO322" s="7" t="str">
        <f aca="false">IF($AH322="","",IF($Z322&lt;&gt;"Y","undefined",IF($AH322&lt;=10,"Y","N")))</f>
        <v/>
      </c>
      <c r="BP322" s="7" t="str">
        <f aca="false">IF($AH322="","",IF($Z322&lt;&gt;"Y","undefined",IF($AH322&lt;=100,"Y","N")))</f>
        <v/>
      </c>
    </row>
    <row r="323" customFormat="false" ht="15" hidden="false" customHeight="false" outlineLevel="0" collapsed="false">
      <c r="A323" s="7" t="str">
        <f aca="false">IF($B323="","",$B323&amp;"|"&amp;$C323&amp;"|"&amp;$F323)</f>
        <v/>
      </c>
      <c r="B323" s="5"/>
      <c r="C323" s="5"/>
      <c r="D323" s="5"/>
      <c r="E323" s="5"/>
      <c r="F323" s="5"/>
      <c r="G323" s="5"/>
      <c r="H323" s="5"/>
      <c r="I323" s="5"/>
      <c r="J323" s="20"/>
      <c r="K323" s="20"/>
      <c r="L323" s="28"/>
      <c r="M323" s="20"/>
      <c r="N323" s="28"/>
      <c r="O323" s="19"/>
      <c r="P323" s="19"/>
      <c r="Q323" s="5"/>
      <c r="R323" s="19"/>
      <c r="S323" s="5"/>
      <c r="T323" s="20"/>
      <c r="U323" s="20"/>
      <c r="V323" s="29"/>
      <c r="W323" s="28"/>
      <c r="X323" s="19"/>
      <c r="Y323" s="19"/>
      <c r="Z323" s="5"/>
      <c r="AA323" s="19"/>
      <c r="AB323" s="5"/>
      <c r="AC323" s="5"/>
      <c r="AD323" s="5"/>
      <c r="AE323" s="5"/>
      <c r="AF323" s="30"/>
      <c r="AG323" s="30"/>
      <c r="AH323" s="30"/>
      <c r="AI323" s="30"/>
      <c r="AJ323" s="30"/>
      <c r="AK323" s="30"/>
      <c r="AL323" s="28"/>
      <c r="AM323" s="5"/>
      <c r="AN323" s="19"/>
      <c r="AO323" s="19"/>
      <c r="AP323" s="5"/>
      <c r="AQ323" s="5"/>
      <c r="AR323" s="5"/>
      <c r="AS323" s="5"/>
      <c r="AT323" s="5"/>
      <c r="AU323" s="19"/>
      <c r="AV323" s="19"/>
      <c r="AW323" s="5"/>
      <c r="AX323" s="5"/>
      <c r="AY323" s="19"/>
      <c r="AZ323" s="30"/>
      <c r="BA323" s="5"/>
      <c r="BB323" s="31" t="str">
        <f aca="false">IF(OR($T323="",$M323=""),"",$T323-$M323)</f>
        <v/>
      </c>
      <c r="BC323" s="32" t="str">
        <f aca="false">IF(OR($T323="",$M323="",$M323=0),"",($T323-$M323)/$M323)</f>
        <v/>
      </c>
      <c r="BD323" s="31" t="str">
        <f aca="false">IF(OR($U323="",$M323=""),"",$U323-$M323)</f>
        <v/>
      </c>
      <c r="BE323" s="32" t="str">
        <f aca="false">IF(OR($U323="",$M323="",$M323=0),"",($U323-$M323)/$M323)</f>
        <v/>
      </c>
      <c r="BF323" s="32" t="str">
        <f aca="false">IF(OR($U323="",$J323="",$J323=0),"",($U323-$J323)/$J323)</f>
        <v/>
      </c>
      <c r="BG323" s="32" t="str">
        <f aca="false">IF(OR($M323="",$K323="",$K323=0),"",($M323-$K323)/$K323)</f>
        <v/>
      </c>
      <c r="BH323" s="32" t="str">
        <f aca="false">IF(OR($W323="",$N323="",$N323=0),"",($W323-$N323)/$N323)</f>
        <v/>
      </c>
      <c r="BI323" s="33" t="str">
        <f aca="false">IF(OR($O323="",$X323=""),"",$O323-$X323)</f>
        <v/>
      </c>
      <c r="BJ323" s="33" t="str">
        <f aca="false">IF(OR($P323="",$Y323=""),"",$P323-$Y323)</f>
        <v/>
      </c>
      <c r="BK323" s="34" t="str">
        <f aca="false">IF(OR($AN323="",$AO323="",$AN323=0),"",$AO323/$AN323)</f>
        <v/>
      </c>
      <c r="BL323" s="34" t="str">
        <f aca="false">IF(OR($AU323="",$AV323="",$AU323=0),"",$AV323/$AU323)</f>
        <v/>
      </c>
      <c r="BM323" s="7" t="str">
        <f aca="false">IF($Z323="","",IF(AND($Z323="Y",$AB323&lt;&gt;"N",$AC323&lt;&gt;"Y"),"Y","N"))</f>
        <v/>
      </c>
      <c r="BN323" s="7" t="str">
        <f aca="false">IF($AH323="","",IF($Z323&lt;&gt;"Y","undefined",IF($AH323&lt;=1,"Y","N")))</f>
        <v/>
      </c>
      <c r="BO323" s="7" t="str">
        <f aca="false">IF($AH323="","",IF($Z323&lt;&gt;"Y","undefined",IF($AH323&lt;=10,"Y","N")))</f>
        <v/>
      </c>
      <c r="BP323" s="7" t="str">
        <f aca="false">IF($AH323="","",IF($Z323&lt;&gt;"Y","undefined",IF($AH323&lt;=100,"Y","N")))</f>
        <v/>
      </c>
    </row>
    <row r="324" customFormat="false" ht="15" hidden="false" customHeight="false" outlineLevel="0" collapsed="false">
      <c r="A324" s="7" t="str">
        <f aca="false">IF($B324="","",$B324&amp;"|"&amp;$C324&amp;"|"&amp;$F324)</f>
        <v/>
      </c>
      <c r="B324" s="5"/>
      <c r="C324" s="5"/>
      <c r="D324" s="5"/>
      <c r="E324" s="5"/>
      <c r="F324" s="5"/>
      <c r="G324" s="5"/>
      <c r="H324" s="5"/>
      <c r="I324" s="5"/>
      <c r="J324" s="20"/>
      <c r="K324" s="20"/>
      <c r="L324" s="28"/>
      <c r="M324" s="20"/>
      <c r="N324" s="28"/>
      <c r="O324" s="19"/>
      <c r="P324" s="19"/>
      <c r="Q324" s="5"/>
      <c r="R324" s="19"/>
      <c r="S324" s="5"/>
      <c r="T324" s="20"/>
      <c r="U324" s="20"/>
      <c r="V324" s="29"/>
      <c r="W324" s="28"/>
      <c r="X324" s="19"/>
      <c r="Y324" s="19"/>
      <c r="Z324" s="5"/>
      <c r="AA324" s="19"/>
      <c r="AB324" s="5"/>
      <c r="AC324" s="5"/>
      <c r="AD324" s="5"/>
      <c r="AE324" s="5"/>
      <c r="AF324" s="30"/>
      <c r="AG324" s="30"/>
      <c r="AH324" s="30"/>
      <c r="AI324" s="30"/>
      <c r="AJ324" s="30"/>
      <c r="AK324" s="30"/>
      <c r="AL324" s="28"/>
      <c r="AM324" s="5"/>
      <c r="AN324" s="19"/>
      <c r="AO324" s="19"/>
      <c r="AP324" s="5"/>
      <c r="AQ324" s="5"/>
      <c r="AR324" s="5"/>
      <c r="AS324" s="5"/>
      <c r="AT324" s="5"/>
      <c r="AU324" s="19"/>
      <c r="AV324" s="19"/>
      <c r="AW324" s="5"/>
      <c r="AX324" s="5"/>
      <c r="AY324" s="19"/>
      <c r="AZ324" s="30"/>
      <c r="BA324" s="5"/>
      <c r="BB324" s="31" t="str">
        <f aca="false">IF(OR($T324="",$M324=""),"",$T324-$M324)</f>
        <v/>
      </c>
      <c r="BC324" s="32" t="str">
        <f aca="false">IF(OR($T324="",$M324="",$M324=0),"",($T324-$M324)/$M324)</f>
        <v/>
      </c>
      <c r="BD324" s="31" t="str">
        <f aca="false">IF(OR($U324="",$M324=""),"",$U324-$M324)</f>
        <v/>
      </c>
      <c r="BE324" s="32" t="str">
        <f aca="false">IF(OR($U324="",$M324="",$M324=0),"",($U324-$M324)/$M324)</f>
        <v/>
      </c>
      <c r="BF324" s="32" t="str">
        <f aca="false">IF(OR($U324="",$J324="",$J324=0),"",($U324-$J324)/$J324)</f>
        <v/>
      </c>
      <c r="BG324" s="32" t="str">
        <f aca="false">IF(OR($M324="",$K324="",$K324=0),"",($M324-$K324)/$K324)</f>
        <v/>
      </c>
      <c r="BH324" s="32" t="str">
        <f aca="false">IF(OR($W324="",$N324="",$N324=0),"",($W324-$N324)/$N324)</f>
        <v/>
      </c>
      <c r="BI324" s="33" t="str">
        <f aca="false">IF(OR($O324="",$X324=""),"",$O324-$X324)</f>
        <v/>
      </c>
      <c r="BJ324" s="33" t="str">
        <f aca="false">IF(OR($P324="",$Y324=""),"",$P324-$Y324)</f>
        <v/>
      </c>
      <c r="BK324" s="34" t="str">
        <f aca="false">IF(OR($AN324="",$AO324="",$AN324=0),"",$AO324/$AN324)</f>
        <v/>
      </c>
      <c r="BL324" s="34" t="str">
        <f aca="false">IF(OR($AU324="",$AV324="",$AU324=0),"",$AV324/$AU324)</f>
        <v/>
      </c>
      <c r="BM324" s="7" t="str">
        <f aca="false">IF($Z324="","",IF(AND($Z324="Y",$AB324&lt;&gt;"N",$AC324&lt;&gt;"Y"),"Y","N"))</f>
        <v/>
      </c>
      <c r="BN324" s="7" t="str">
        <f aca="false">IF($AH324="","",IF($Z324&lt;&gt;"Y","undefined",IF($AH324&lt;=1,"Y","N")))</f>
        <v/>
      </c>
      <c r="BO324" s="7" t="str">
        <f aca="false">IF($AH324="","",IF($Z324&lt;&gt;"Y","undefined",IF($AH324&lt;=10,"Y","N")))</f>
        <v/>
      </c>
      <c r="BP324" s="7" t="str">
        <f aca="false">IF($AH324="","",IF($Z324&lt;&gt;"Y","undefined",IF($AH324&lt;=100,"Y","N")))</f>
        <v/>
      </c>
    </row>
    <row r="325" customFormat="false" ht="15" hidden="false" customHeight="false" outlineLevel="0" collapsed="false">
      <c r="A325" s="7" t="str">
        <f aca="false">IF($B325="","",$B325&amp;"|"&amp;$C325&amp;"|"&amp;$F325)</f>
        <v/>
      </c>
      <c r="B325" s="5"/>
      <c r="C325" s="5"/>
      <c r="D325" s="5"/>
      <c r="E325" s="5"/>
      <c r="F325" s="5"/>
      <c r="G325" s="5"/>
      <c r="H325" s="5"/>
      <c r="I325" s="5"/>
      <c r="J325" s="20"/>
      <c r="K325" s="20"/>
      <c r="L325" s="28"/>
      <c r="M325" s="20"/>
      <c r="N325" s="28"/>
      <c r="O325" s="19"/>
      <c r="P325" s="19"/>
      <c r="Q325" s="5"/>
      <c r="R325" s="19"/>
      <c r="S325" s="5"/>
      <c r="T325" s="20"/>
      <c r="U325" s="20"/>
      <c r="V325" s="29"/>
      <c r="W325" s="28"/>
      <c r="X325" s="19"/>
      <c r="Y325" s="19"/>
      <c r="Z325" s="5"/>
      <c r="AA325" s="19"/>
      <c r="AB325" s="5"/>
      <c r="AC325" s="5"/>
      <c r="AD325" s="5"/>
      <c r="AE325" s="5"/>
      <c r="AF325" s="30"/>
      <c r="AG325" s="30"/>
      <c r="AH325" s="30"/>
      <c r="AI325" s="30"/>
      <c r="AJ325" s="30"/>
      <c r="AK325" s="30"/>
      <c r="AL325" s="28"/>
      <c r="AM325" s="5"/>
      <c r="AN325" s="19"/>
      <c r="AO325" s="19"/>
      <c r="AP325" s="5"/>
      <c r="AQ325" s="5"/>
      <c r="AR325" s="5"/>
      <c r="AS325" s="5"/>
      <c r="AT325" s="5"/>
      <c r="AU325" s="19"/>
      <c r="AV325" s="19"/>
      <c r="AW325" s="5"/>
      <c r="AX325" s="5"/>
      <c r="AY325" s="19"/>
      <c r="AZ325" s="30"/>
      <c r="BA325" s="5"/>
      <c r="BB325" s="31" t="str">
        <f aca="false">IF(OR($T325="",$M325=""),"",$T325-$M325)</f>
        <v/>
      </c>
      <c r="BC325" s="32" t="str">
        <f aca="false">IF(OR($T325="",$M325="",$M325=0),"",($T325-$M325)/$M325)</f>
        <v/>
      </c>
      <c r="BD325" s="31" t="str">
        <f aca="false">IF(OR($U325="",$M325=""),"",$U325-$M325)</f>
        <v/>
      </c>
      <c r="BE325" s="32" t="str">
        <f aca="false">IF(OR($U325="",$M325="",$M325=0),"",($U325-$M325)/$M325)</f>
        <v/>
      </c>
      <c r="BF325" s="32" t="str">
        <f aca="false">IF(OR($U325="",$J325="",$J325=0),"",($U325-$J325)/$J325)</f>
        <v/>
      </c>
      <c r="BG325" s="32" t="str">
        <f aca="false">IF(OR($M325="",$K325="",$K325=0),"",($M325-$K325)/$K325)</f>
        <v/>
      </c>
      <c r="BH325" s="32" t="str">
        <f aca="false">IF(OR($W325="",$N325="",$N325=0),"",($W325-$N325)/$N325)</f>
        <v/>
      </c>
      <c r="BI325" s="33" t="str">
        <f aca="false">IF(OR($O325="",$X325=""),"",$O325-$X325)</f>
        <v/>
      </c>
      <c r="BJ325" s="33" t="str">
        <f aca="false">IF(OR($P325="",$Y325=""),"",$P325-$Y325)</f>
        <v/>
      </c>
      <c r="BK325" s="34" t="str">
        <f aca="false">IF(OR($AN325="",$AO325="",$AN325=0),"",$AO325/$AN325)</f>
        <v/>
      </c>
      <c r="BL325" s="34" t="str">
        <f aca="false">IF(OR($AU325="",$AV325="",$AU325=0),"",$AV325/$AU325)</f>
        <v/>
      </c>
      <c r="BM325" s="7" t="str">
        <f aca="false">IF($Z325="","",IF(AND($Z325="Y",$AB325&lt;&gt;"N",$AC325&lt;&gt;"Y"),"Y","N"))</f>
        <v/>
      </c>
      <c r="BN325" s="7" t="str">
        <f aca="false">IF($AH325="","",IF($Z325&lt;&gt;"Y","undefined",IF($AH325&lt;=1,"Y","N")))</f>
        <v/>
      </c>
      <c r="BO325" s="7" t="str">
        <f aca="false">IF($AH325="","",IF($Z325&lt;&gt;"Y","undefined",IF($AH325&lt;=10,"Y","N")))</f>
        <v/>
      </c>
      <c r="BP325" s="7" t="str">
        <f aca="false">IF($AH325="","",IF($Z325&lt;&gt;"Y","undefined",IF($AH325&lt;=100,"Y","N")))</f>
        <v/>
      </c>
    </row>
    <row r="326" customFormat="false" ht="15" hidden="false" customHeight="false" outlineLevel="0" collapsed="false">
      <c r="A326" s="7" t="str">
        <f aca="false">IF($B326="","",$B326&amp;"|"&amp;$C326&amp;"|"&amp;$F326)</f>
        <v/>
      </c>
      <c r="B326" s="5"/>
      <c r="C326" s="5"/>
      <c r="D326" s="5"/>
      <c r="E326" s="5"/>
      <c r="F326" s="5"/>
      <c r="G326" s="5"/>
      <c r="H326" s="5"/>
      <c r="I326" s="5"/>
      <c r="J326" s="20"/>
      <c r="K326" s="20"/>
      <c r="L326" s="28"/>
      <c r="M326" s="20"/>
      <c r="N326" s="28"/>
      <c r="O326" s="19"/>
      <c r="P326" s="19"/>
      <c r="Q326" s="5"/>
      <c r="R326" s="19"/>
      <c r="S326" s="5"/>
      <c r="T326" s="20"/>
      <c r="U326" s="20"/>
      <c r="V326" s="29"/>
      <c r="W326" s="28"/>
      <c r="X326" s="19"/>
      <c r="Y326" s="19"/>
      <c r="Z326" s="5"/>
      <c r="AA326" s="19"/>
      <c r="AB326" s="5"/>
      <c r="AC326" s="5"/>
      <c r="AD326" s="5"/>
      <c r="AE326" s="5"/>
      <c r="AF326" s="30"/>
      <c r="AG326" s="30"/>
      <c r="AH326" s="30"/>
      <c r="AI326" s="30"/>
      <c r="AJ326" s="30"/>
      <c r="AK326" s="30"/>
      <c r="AL326" s="28"/>
      <c r="AM326" s="5"/>
      <c r="AN326" s="19"/>
      <c r="AO326" s="19"/>
      <c r="AP326" s="5"/>
      <c r="AQ326" s="5"/>
      <c r="AR326" s="5"/>
      <c r="AS326" s="5"/>
      <c r="AT326" s="5"/>
      <c r="AU326" s="19"/>
      <c r="AV326" s="19"/>
      <c r="AW326" s="5"/>
      <c r="AX326" s="5"/>
      <c r="AY326" s="19"/>
      <c r="AZ326" s="30"/>
      <c r="BA326" s="5"/>
      <c r="BB326" s="31" t="str">
        <f aca="false">IF(OR($T326="",$M326=""),"",$T326-$M326)</f>
        <v/>
      </c>
      <c r="BC326" s="32" t="str">
        <f aca="false">IF(OR($T326="",$M326="",$M326=0),"",($T326-$M326)/$M326)</f>
        <v/>
      </c>
      <c r="BD326" s="31" t="str">
        <f aca="false">IF(OR($U326="",$M326=""),"",$U326-$M326)</f>
        <v/>
      </c>
      <c r="BE326" s="32" t="str">
        <f aca="false">IF(OR($U326="",$M326="",$M326=0),"",($U326-$M326)/$M326)</f>
        <v/>
      </c>
      <c r="BF326" s="32" t="str">
        <f aca="false">IF(OR($U326="",$J326="",$J326=0),"",($U326-$J326)/$J326)</f>
        <v/>
      </c>
      <c r="BG326" s="32" t="str">
        <f aca="false">IF(OR($M326="",$K326="",$K326=0),"",($M326-$K326)/$K326)</f>
        <v/>
      </c>
      <c r="BH326" s="32" t="str">
        <f aca="false">IF(OR($W326="",$N326="",$N326=0),"",($W326-$N326)/$N326)</f>
        <v/>
      </c>
      <c r="BI326" s="33" t="str">
        <f aca="false">IF(OR($O326="",$X326=""),"",$O326-$X326)</f>
        <v/>
      </c>
      <c r="BJ326" s="33" t="str">
        <f aca="false">IF(OR($P326="",$Y326=""),"",$P326-$Y326)</f>
        <v/>
      </c>
      <c r="BK326" s="34" t="str">
        <f aca="false">IF(OR($AN326="",$AO326="",$AN326=0),"",$AO326/$AN326)</f>
        <v/>
      </c>
      <c r="BL326" s="34" t="str">
        <f aca="false">IF(OR($AU326="",$AV326="",$AU326=0),"",$AV326/$AU326)</f>
        <v/>
      </c>
      <c r="BM326" s="7" t="str">
        <f aca="false">IF($Z326="","",IF(AND($Z326="Y",$AB326&lt;&gt;"N",$AC326&lt;&gt;"Y"),"Y","N"))</f>
        <v/>
      </c>
      <c r="BN326" s="7" t="str">
        <f aca="false">IF($AH326="","",IF($Z326&lt;&gt;"Y","undefined",IF($AH326&lt;=1,"Y","N")))</f>
        <v/>
      </c>
      <c r="BO326" s="7" t="str">
        <f aca="false">IF($AH326="","",IF($Z326&lt;&gt;"Y","undefined",IF($AH326&lt;=10,"Y","N")))</f>
        <v/>
      </c>
      <c r="BP326" s="7" t="str">
        <f aca="false">IF($AH326="","",IF($Z326&lt;&gt;"Y","undefined",IF($AH326&lt;=100,"Y","N")))</f>
        <v/>
      </c>
    </row>
    <row r="327" customFormat="false" ht="15" hidden="false" customHeight="false" outlineLevel="0" collapsed="false">
      <c r="A327" s="7" t="str">
        <f aca="false">IF($B327="","",$B327&amp;"|"&amp;$C327&amp;"|"&amp;$F327)</f>
        <v/>
      </c>
      <c r="B327" s="5"/>
      <c r="C327" s="5"/>
      <c r="D327" s="5"/>
      <c r="E327" s="5"/>
      <c r="F327" s="5"/>
      <c r="G327" s="5"/>
      <c r="H327" s="5"/>
      <c r="I327" s="5"/>
      <c r="J327" s="20"/>
      <c r="K327" s="20"/>
      <c r="L327" s="28"/>
      <c r="M327" s="20"/>
      <c r="N327" s="28"/>
      <c r="O327" s="19"/>
      <c r="P327" s="19"/>
      <c r="Q327" s="5"/>
      <c r="R327" s="19"/>
      <c r="S327" s="5"/>
      <c r="T327" s="20"/>
      <c r="U327" s="20"/>
      <c r="V327" s="29"/>
      <c r="W327" s="28"/>
      <c r="X327" s="19"/>
      <c r="Y327" s="19"/>
      <c r="Z327" s="5"/>
      <c r="AA327" s="19"/>
      <c r="AB327" s="5"/>
      <c r="AC327" s="5"/>
      <c r="AD327" s="5"/>
      <c r="AE327" s="5"/>
      <c r="AF327" s="30"/>
      <c r="AG327" s="30"/>
      <c r="AH327" s="30"/>
      <c r="AI327" s="30"/>
      <c r="AJ327" s="30"/>
      <c r="AK327" s="30"/>
      <c r="AL327" s="28"/>
      <c r="AM327" s="5"/>
      <c r="AN327" s="19"/>
      <c r="AO327" s="19"/>
      <c r="AP327" s="5"/>
      <c r="AQ327" s="5"/>
      <c r="AR327" s="5"/>
      <c r="AS327" s="5"/>
      <c r="AT327" s="5"/>
      <c r="AU327" s="19"/>
      <c r="AV327" s="19"/>
      <c r="AW327" s="5"/>
      <c r="AX327" s="5"/>
      <c r="AY327" s="19"/>
      <c r="AZ327" s="30"/>
      <c r="BA327" s="5"/>
      <c r="BB327" s="31" t="str">
        <f aca="false">IF(OR($T327="",$M327=""),"",$T327-$M327)</f>
        <v/>
      </c>
      <c r="BC327" s="32" t="str">
        <f aca="false">IF(OR($T327="",$M327="",$M327=0),"",($T327-$M327)/$M327)</f>
        <v/>
      </c>
      <c r="BD327" s="31" t="str">
        <f aca="false">IF(OR($U327="",$M327=""),"",$U327-$M327)</f>
        <v/>
      </c>
      <c r="BE327" s="32" t="str">
        <f aca="false">IF(OR($U327="",$M327="",$M327=0),"",($U327-$M327)/$M327)</f>
        <v/>
      </c>
      <c r="BF327" s="32" t="str">
        <f aca="false">IF(OR($U327="",$J327="",$J327=0),"",($U327-$J327)/$J327)</f>
        <v/>
      </c>
      <c r="BG327" s="32" t="str">
        <f aca="false">IF(OR($M327="",$K327="",$K327=0),"",($M327-$K327)/$K327)</f>
        <v/>
      </c>
      <c r="BH327" s="32" t="str">
        <f aca="false">IF(OR($W327="",$N327="",$N327=0),"",($W327-$N327)/$N327)</f>
        <v/>
      </c>
      <c r="BI327" s="33" t="str">
        <f aca="false">IF(OR($O327="",$X327=""),"",$O327-$X327)</f>
        <v/>
      </c>
      <c r="BJ327" s="33" t="str">
        <f aca="false">IF(OR($P327="",$Y327=""),"",$P327-$Y327)</f>
        <v/>
      </c>
      <c r="BK327" s="34" t="str">
        <f aca="false">IF(OR($AN327="",$AO327="",$AN327=0),"",$AO327/$AN327)</f>
        <v/>
      </c>
      <c r="BL327" s="34" t="str">
        <f aca="false">IF(OR($AU327="",$AV327="",$AU327=0),"",$AV327/$AU327)</f>
        <v/>
      </c>
      <c r="BM327" s="7" t="str">
        <f aca="false">IF($Z327="","",IF(AND($Z327="Y",$AB327&lt;&gt;"N",$AC327&lt;&gt;"Y"),"Y","N"))</f>
        <v/>
      </c>
      <c r="BN327" s="7" t="str">
        <f aca="false">IF($AH327="","",IF($Z327&lt;&gt;"Y","undefined",IF($AH327&lt;=1,"Y","N")))</f>
        <v/>
      </c>
      <c r="BO327" s="7" t="str">
        <f aca="false">IF($AH327="","",IF($Z327&lt;&gt;"Y","undefined",IF($AH327&lt;=10,"Y","N")))</f>
        <v/>
      </c>
      <c r="BP327" s="7" t="str">
        <f aca="false">IF($AH327="","",IF($Z327&lt;&gt;"Y","undefined",IF($AH327&lt;=100,"Y","N")))</f>
        <v/>
      </c>
    </row>
    <row r="328" customFormat="false" ht="15" hidden="false" customHeight="false" outlineLevel="0" collapsed="false">
      <c r="A328" s="7" t="str">
        <f aca="false">IF($B328="","",$B328&amp;"|"&amp;$C328&amp;"|"&amp;$F328)</f>
        <v/>
      </c>
      <c r="B328" s="5"/>
      <c r="C328" s="5"/>
      <c r="D328" s="5"/>
      <c r="E328" s="5"/>
      <c r="F328" s="5"/>
      <c r="G328" s="5"/>
      <c r="H328" s="5"/>
      <c r="I328" s="5"/>
      <c r="J328" s="20"/>
      <c r="K328" s="20"/>
      <c r="L328" s="28"/>
      <c r="M328" s="20"/>
      <c r="N328" s="28"/>
      <c r="O328" s="19"/>
      <c r="P328" s="19"/>
      <c r="Q328" s="5"/>
      <c r="R328" s="19"/>
      <c r="S328" s="5"/>
      <c r="T328" s="20"/>
      <c r="U328" s="20"/>
      <c r="V328" s="29"/>
      <c r="W328" s="28"/>
      <c r="X328" s="19"/>
      <c r="Y328" s="19"/>
      <c r="Z328" s="5"/>
      <c r="AA328" s="19"/>
      <c r="AB328" s="5"/>
      <c r="AC328" s="5"/>
      <c r="AD328" s="5"/>
      <c r="AE328" s="5"/>
      <c r="AF328" s="30"/>
      <c r="AG328" s="30"/>
      <c r="AH328" s="30"/>
      <c r="AI328" s="30"/>
      <c r="AJ328" s="30"/>
      <c r="AK328" s="30"/>
      <c r="AL328" s="28"/>
      <c r="AM328" s="5"/>
      <c r="AN328" s="19"/>
      <c r="AO328" s="19"/>
      <c r="AP328" s="5"/>
      <c r="AQ328" s="5"/>
      <c r="AR328" s="5"/>
      <c r="AS328" s="5"/>
      <c r="AT328" s="5"/>
      <c r="AU328" s="19"/>
      <c r="AV328" s="19"/>
      <c r="AW328" s="5"/>
      <c r="AX328" s="5"/>
      <c r="AY328" s="19"/>
      <c r="AZ328" s="30"/>
      <c r="BA328" s="5"/>
      <c r="BB328" s="31" t="str">
        <f aca="false">IF(OR($T328="",$M328=""),"",$T328-$M328)</f>
        <v/>
      </c>
      <c r="BC328" s="32" t="str">
        <f aca="false">IF(OR($T328="",$M328="",$M328=0),"",($T328-$M328)/$M328)</f>
        <v/>
      </c>
      <c r="BD328" s="31" t="str">
        <f aca="false">IF(OR($U328="",$M328=""),"",$U328-$M328)</f>
        <v/>
      </c>
      <c r="BE328" s="32" t="str">
        <f aca="false">IF(OR($U328="",$M328="",$M328=0),"",($U328-$M328)/$M328)</f>
        <v/>
      </c>
      <c r="BF328" s="32" t="str">
        <f aca="false">IF(OR($U328="",$J328="",$J328=0),"",($U328-$J328)/$J328)</f>
        <v/>
      </c>
      <c r="BG328" s="32" t="str">
        <f aca="false">IF(OR($M328="",$K328="",$K328=0),"",($M328-$K328)/$K328)</f>
        <v/>
      </c>
      <c r="BH328" s="32" t="str">
        <f aca="false">IF(OR($W328="",$N328="",$N328=0),"",($W328-$N328)/$N328)</f>
        <v/>
      </c>
      <c r="BI328" s="33" t="str">
        <f aca="false">IF(OR($O328="",$X328=""),"",$O328-$X328)</f>
        <v/>
      </c>
      <c r="BJ328" s="33" t="str">
        <f aca="false">IF(OR($P328="",$Y328=""),"",$P328-$Y328)</f>
        <v/>
      </c>
      <c r="BK328" s="34" t="str">
        <f aca="false">IF(OR($AN328="",$AO328="",$AN328=0),"",$AO328/$AN328)</f>
        <v/>
      </c>
      <c r="BL328" s="34" t="str">
        <f aca="false">IF(OR($AU328="",$AV328="",$AU328=0),"",$AV328/$AU328)</f>
        <v/>
      </c>
      <c r="BM328" s="7" t="str">
        <f aca="false">IF($Z328="","",IF(AND($Z328="Y",$AB328&lt;&gt;"N",$AC328&lt;&gt;"Y"),"Y","N"))</f>
        <v/>
      </c>
      <c r="BN328" s="7" t="str">
        <f aca="false">IF($AH328="","",IF($Z328&lt;&gt;"Y","undefined",IF($AH328&lt;=1,"Y","N")))</f>
        <v/>
      </c>
      <c r="BO328" s="7" t="str">
        <f aca="false">IF($AH328="","",IF($Z328&lt;&gt;"Y","undefined",IF($AH328&lt;=10,"Y","N")))</f>
        <v/>
      </c>
      <c r="BP328" s="7" t="str">
        <f aca="false">IF($AH328="","",IF($Z328&lt;&gt;"Y","undefined",IF($AH328&lt;=100,"Y","N")))</f>
        <v/>
      </c>
    </row>
    <row r="329" customFormat="false" ht="15" hidden="false" customHeight="false" outlineLevel="0" collapsed="false">
      <c r="A329" s="7" t="str">
        <f aca="false">IF($B329="","",$B329&amp;"|"&amp;$C329&amp;"|"&amp;$F329)</f>
        <v/>
      </c>
      <c r="B329" s="5"/>
      <c r="C329" s="5"/>
      <c r="D329" s="5"/>
      <c r="E329" s="5"/>
      <c r="F329" s="5"/>
      <c r="G329" s="5"/>
      <c r="H329" s="5"/>
      <c r="I329" s="5"/>
      <c r="J329" s="20"/>
      <c r="K329" s="20"/>
      <c r="L329" s="28"/>
      <c r="M329" s="20"/>
      <c r="N329" s="28"/>
      <c r="O329" s="19"/>
      <c r="P329" s="19"/>
      <c r="Q329" s="5"/>
      <c r="R329" s="19"/>
      <c r="S329" s="5"/>
      <c r="T329" s="20"/>
      <c r="U329" s="20"/>
      <c r="V329" s="29"/>
      <c r="W329" s="28"/>
      <c r="X329" s="19"/>
      <c r="Y329" s="19"/>
      <c r="Z329" s="5"/>
      <c r="AA329" s="19"/>
      <c r="AB329" s="5"/>
      <c r="AC329" s="5"/>
      <c r="AD329" s="5"/>
      <c r="AE329" s="5"/>
      <c r="AF329" s="30"/>
      <c r="AG329" s="30"/>
      <c r="AH329" s="30"/>
      <c r="AI329" s="30"/>
      <c r="AJ329" s="30"/>
      <c r="AK329" s="30"/>
      <c r="AL329" s="28"/>
      <c r="AM329" s="5"/>
      <c r="AN329" s="19"/>
      <c r="AO329" s="19"/>
      <c r="AP329" s="5"/>
      <c r="AQ329" s="5"/>
      <c r="AR329" s="5"/>
      <c r="AS329" s="5"/>
      <c r="AT329" s="5"/>
      <c r="AU329" s="19"/>
      <c r="AV329" s="19"/>
      <c r="AW329" s="5"/>
      <c r="AX329" s="5"/>
      <c r="AY329" s="19"/>
      <c r="AZ329" s="30"/>
      <c r="BA329" s="5"/>
      <c r="BB329" s="31" t="str">
        <f aca="false">IF(OR($T329="",$M329=""),"",$T329-$M329)</f>
        <v/>
      </c>
      <c r="BC329" s="32" t="str">
        <f aca="false">IF(OR($T329="",$M329="",$M329=0),"",($T329-$M329)/$M329)</f>
        <v/>
      </c>
      <c r="BD329" s="31" t="str">
        <f aca="false">IF(OR($U329="",$M329=""),"",$U329-$M329)</f>
        <v/>
      </c>
      <c r="BE329" s="32" t="str">
        <f aca="false">IF(OR($U329="",$M329="",$M329=0),"",($U329-$M329)/$M329)</f>
        <v/>
      </c>
      <c r="BF329" s="32" t="str">
        <f aca="false">IF(OR($U329="",$J329="",$J329=0),"",($U329-$J329)/$J329)</f>
        <v/>
      </c>
      <c r="BG329" s="32" t="str">
        <f aca="false">IF(OR($M329="",$K329="",$K329=0),"",($M329-$K329)/$K329)</f>
        <v/>
      </c>
      <c r="BH329" s="32" t="str">
        <f aca="false">IF(OR($W329="",$N329="",$N329=0),"",($W329-$N329)/$N329)</f>
        <v/>
      </c>
      <c r="BI329" s="33" t="str">
        <f aca="false">IF(OR($O329="",$X329=""),"",$O329-$X329)</f>
        <v/>
      </c>
      <c r="BJ329" s="33" t="str">
        <f aca="false">IF(OR($P329="",$Y329=""),"",$P329-$Y329)</f>
        <v/>
      </c>
      <c r="BK329" s="34" t="str">
        <f aca="false">IF(OR($AN329="",$AO329="",$AN329=0),"",$AO329/$AN329)</f>
        <v/>
      </c>
      <c r="BL329" s="34" t="str">
        <f aca="false">IF(OR($AU329="",$AV329="",$AU329=0),"",$AV329/$AU329)</f>
        <v/>
      </c>
      <c r="BM329" s="7" t="str">
        <f aca="false">IF($Z329="","",IF(AND($Z329="Y",$AB329&lt;&gt;"N",$AC329&lt;&gt;"Y"),"Y","N"))</f>
        <v/>
      </c>
      <c r="BN329" s="7" t="str">
        <f aca="false">IF($AH329="","",IF($Z329&lt;&gt;"Y","undefined",IF($AH329&lt;=1,"Y","N")))</f>
        <v/>
      </c>
      <c r="BO329" s="7" t="str">
        <f aca="false">IF($AH329="","",IF($Z329&lt;&gt;"Y","undefined",IF($AH329&lt;=10,"Y","N")))</f>
        <v/>
      </c>
      <c r="BP329" s="7" t="str">
        <f aca="false">IF($AH329="","",IF($Z329&lt;&gt;"Y","undefined",IF($AH329&lt;=100,"Y","N")))</f>
        <v/>
      </c>
    </row>
    <row r="330" customFormat="false" ht="15" hidden="false" customHeight="false" outlineLevel="0" collapsed="false">
      <c r="A330" s="7" t="str">
        <f aca="false">IF($B330="","",$B330&amp;"|"&amp;$C330&amp;"|"&amp;$F330)</f>
        <v/>
      </c>
      <c r="B330" s="5"/>
      <c r="C330" s="5"/>
      <c r="D330" s="5"/>
      <c r="E330" s="5"/>
      <c r="F330" s="5"/>
      <c r="G330" s="5"/>
      <c r="H330" s="5"/>
      <c r="I330" s="5"/>
      <c r="J330" s="20"/>
      <c r="K330" s="20"/>
      <c r="L330" s="28"/>
      <c r="M330" s="20"/>
      <c r="N330" s="28"/>
      <c r="O330" s="19"/>
      <c r="P330" s="19"/>
      <c r="Q330" s="5"/>
      <c r="R330" s="19"/>
      <c r="S330" s="5"/>
      <c r="T330" s="20"/>
      <c r="U330" s="20"/>
      <c r="V330" s="29"/>
      <c r="W330" s="28"/>
      <c r="X330" s="19"/>
      <c r="Y330" s="19"/>
      <c r="Z330" s="5"/>
      <c r="AA330" s="19"/>
      <c r="AB330" s="5"/>
      <c r="AC330" s="5"/>
      <c r="AD330" s="5"/>
      <c r="AE330" s="5"/>
      <c r="AF330" s="30"/>
      <c r="AG330" s="30"/>
      <c r="AH330" s="30"/>
      <c r="AI330" s="30"/>
      <c r="AJ330" s="30"/>
      <c r="AK330" s="30"/>
      <c r="AL330" s="28"/>
      <c r="AM330" s="5"/>
      <c r="AN330" s="19"/>
      <c r="AO330" s="19"/>
      <c r="AP330" s="5"/>
      <c r="AQ330" s="5"/>
      <c r="AR330" s="5"/>
      <c r="AS330" s="5"/>
      <c r="AT330" s="5"/>
      <c r="AU330" s="19"/>
      <c r="AV330" s="19"/>
      <c r="AW330" s="5"/>
      <c r="AX330" s="5"/>
      <c r="AY330" s="19"/>
      <c r="AZ330" s="30"/>
      <c r="BA330" s="5"/>
      <c r="BB330" s="31" t="str">
        <f aca="false">IF(OR($T330="",$M330=""),"",$T330-$M330)</f>
        <v/>
      </c>
      <c r="BC330" s="32" t="str">
        <f aca="false">IF(OR($T330="",$M330="",$M330=0),"",($T330-$M330)/$M330)</f>
        <v/>
      </c>
      <c r="BD330" s="31" t="str">
        <f aca="false">IF(OR($U330="",$M330=""),"",$U330-$M330)</f>
        <v/>
      </c>
      <c r="BE330" s="32" t="str">
        <f aca="false">IF(OR($U330="",$M330="",$M330=0),"",($U330-$M330)/$M330)</f>
        <v/>
      </c>
      <c r="BF330" s="32" t="str">
        <f aca="false">IF(OR($U330="",$J330="",$J330=0),"",($U330-$J330)/$J330)</f>
        <v/>
      </c>
      <c r="BG330" s="32" t="str">
        <f aca="false">IF(OR($M330="",$K330="",$K330=0),"",($M330-$K330)/$K330)</f>
        <v/>
      </c>
      <c r="BH330" s="32" t="str">
        <f aca="false">IF(OR($W330="",$N330="",$N330=0),"",($W330-$N330)/$N330)</f>
        <v/>
      </c>
      <c r="BI330" s="33" t="str">
        <f aca="false">IF(OR($O330="",$X330=""),"",$O330-$X330)</f>
        <v/>
      </c>
      <c r="BJ330" s="33" t="str">
        <f aca="false">IF(OR($P330="",$Y330=""),"",$P330-$Y330)</f>
        <v/>
      </c>
      <c r="BK330" s="34" t="str">
        <f aca="false">IF(OR($AN330="",$AO330="",$AN330=0),"",$AO330/$AN330)</f>
        <v/>
      </c>
      <c r="BL330" s="34" t="str">
        <f aca="false">IF(OR($AU330="",$AV330="",$AU330=0),"",$AV330/$AU330)</f>
        <v/>
      </c>
      <c r="BM330" s="7" t="str">
        <f aca="false">IF($Z330="","",IF(AND($Z330="Y",$AB330&lt;&gt;"N",$AC330&lt;&gt;"Y"),"Y","N"))</f>
        <v/>
      </c>
      <c r="BN330" s="7" t="str">
        <f aca="false">IF($AH330="","",IF($Z330&lt;&gt;"Y","undefined",IF($AH330&lt;=1,"Y","N")))</f>
        <v/>
      </c>
      <c r="BO330" s="7" t="str">
        <f aca="false">IF($AH330="","",IF($Z330&lt;&gt;"Y","undefined",IF($AH330&lt;=10,"Y","N")))</f>
        <v/>
      </c>
      <c r="BP330" s="7" t="str">
        <f aca="false">IF($AH330="","",IF($Z330&lt;&gt;"Y","undefined",IF($AH330&lt;=100,"Y","N")))</f>
        <v/>
      </c>
    </row>
    <row r="331" customFormat="false" ht="15" hidden="false" customHeight="false" outlineLevel="0" collapsed="false">
      <c r="A331" s="7" t="str">
        <f aca="false">IF($B331="","",$B331&amp;"|"&amp;$C331&amp;"|"&amp;$F331)</f>
        <v/>
      </c>
      <c r="B331" s="5"/>
      <c r="C331" s="5"/>
      <c r="D331" s="5"/>
      <c r="E331" s="5"/>
      <c r="F331" s="5"/>
      <c r="G331" s="5"/>
      <c r="H331" s="5"/>
      <c r="I331" s="5"/>
      <c r="J331" s="20"/>
      <c r="K331" s="20"/>
      <c r="L331" s="28"/>
      <c r="M331" s="20"/>
      <c r="N331" s="28"/>
      <c r="O331" s="19"/>
      <c r="P331" s="19"/>
      <c r="Q331" s="5"/>
      <c r="R331" s="19"/>
      <c r="S331" s="5"/>
      <c r="T331" s="20"/>
      <c r="U331" s="20"/>
      <c r="V331" s="29"/>
      <c r="W331" s="28"/>
      <c r="X331" s="19"/>
      <c r="Y331" s="19"/>
      <c r="Z331" s="5"/>
      <c r="AA331" s="19"/>
      <c r="AB331" s="5"/>
      <c r="AC331" s="5"/>
      <c r="AD331" s="5"/>
      <c r="AE331" s="5"/>
      <c r="AF331" s="30"/>
      <c r="AG331" s="30"/>
      <c r="AH331" s="30"/>
      <c r="AI331" s="30"/>
      <c r="AJ331" s="30"/>
      <c r="AK331" s="30"/>
      <c r="AL331" s="28"/>
      <c r="AM331" s="5"/>
      <c r="AN331" s="19"/>
      <c r="AO331" s="19"/>
      <c r="AP331" s="5"/>
      <c r="AQ331" s="5"/>
      <c r="AR331" s="5"/>
      <c r="AS331" s="5"/>
      <c r="AT331" s="5"/>
      <c r="AU331" s="19"/>
      <c r="AV331" s="19"/>
      <c r="AW331" s="5"/>
      <c r="AX331" s="5"/>
      <c r="AY331" s="19"/>
      <c r="AZ331" s="30"/>
      <c r="BA331" s="5"/>
      <c r="BB331" s="31" t="str">
        <f aca="false">IF(OR($T331="",$M331=""),"",$T331-$M331)</f>
        <v/>
      </c>
      <c r="BC331" s="32" t="str">
        <f aca="false">IF(OR($T331="",$M331="",$M331=0),"",($T331-$M331)/$M331)</f>
        <v/>
      </c>
      <c r="BD331" s="31" t="str">
        <f aca="false">IF(OR($U331="",$M331=""),"",$U331-$M331)</f>
        <v/>
      </c>
      <c r="BE331" s="32" t="str">
        <f aca="false">IF(OR($U331="",$M331="",$M331=0),"",($U331-$M331)/$M331)</f>
        <v/>
      </c>
      <c r="BF331" s="32" t="str">
        <f aca="false">IF(OR($U331="",$J331="",$J331=0),"",($U331-$J331)/$J331)</f>
        <v/>
      </c>
      <c r="BG331" s="32" t="str">
        <f aca="false">IF(OR($M331="",$K331="",$K331=0),"",($M331-$K331)/$K331)</f>
        <v/>
      </c>
      <c r="BH331" s="32" t="str">
        <f aca="false">IF(OR($W331="",$N331="",$N331=0),"",($W331-$N331)/$N331)</f>
        <v/>
      </c>
      <c r="BI331" s="33" t="str">
        <f aca="false">IF(OR($O331="",$X331=""),"",$O331-$X331)</f>
        <v/>
      </c>
      <c r="BJ331" s="33" t="str">
        <f aca="false">IF(OR($P331="",$Y331=""),"",$P331-$Y331)</f>
        <v/>
      </c>
      <c r="BK331" s="34" t="str">
        <f aca="false">IF(OR($AN331="",$AO331="",$AN331=0),"",$AO331/$AN331)</f>
        <v/>
      </c>
      <c r="BL331" s="34" t="str">
        <f aca="false">IF(OR($AU331="",$AV331="",$AU331=0),"",$AV331/$AU331)</f>
        <v/>
      </c>
      <c r="BM331" s="7" t="str">
        <f aca="false">IF($Z331="","",IF(AND($Z331="Y",$AB331&lt;&gt;"N",$AC331&lt;&gt;"Y"),"Y","N"))</f>
        <v/>
      </c>
      <c r="BN331" s="7" t="str">
        <f aca="false">IF($AH331="","",IF($Z331&lt;&gt;"Y","undefined",IF($AH331&lt;=1,"Y","N")))</f>
        <v/>
      </c>
      <c r="BO331" s="7" t="str">
        <f aca="false">IF($AH331="","",IF($Z331&lt;&gt;"Y","undefined",IF($AH331&lt;=10,"Y","N")))</f>
        <v/>
      </c>
      <c r="BP331" s="7" t="str">
        <f aca="false">IF($AH331="","",IF($Z331&lt;&gt;"Y","undefined",IF($AH331&lt;=100,"Y","N")))</f>
        <v/>
      </c>
    </row>
    <row r="332" customFormat="false" ht="15" hidden="false" customHeight="false" outlineLevel="0" collapsed="false">
      <c r="A332" s="7" t="str">
        <f aca="false">IF($B332="","",$B332&amp;"|"&amp;$C332&amp;"|"&amp;$F332)</f>
        <v/>
      </c>
      <c r="B332" s="5"/>
      <c r="C332" s="5"/>
      <c r="D332" s="5"/>
      <c r="E332" s="5"/>
      <c r="F332" s="5"/>
      <c r="G332" s="5"/>
      <c r="H332" s="5"/>
      <c r="I332" s="5"/>
      <c r="J332" s="20"/>
      <c r="K332" s="20"/>
      <c r="L332" s="28"/>
      <c r="M332" s="20"/>
      <c r="N332" s="28"/>
      <c r="O332" s="19"/>
      <c r="P332" s="19"/>
      <c r="Q332" s="5"/>
      <c r="R332" s="19"/>
      <c r="S332" s="5"/>
      <c r="T332" s="20"/>
      <c r="U332" s="20"/>
      <c r="V332" s="29"/>
      <c r="W332" s="28"/>
      <c r="X332" s="19"/>
      <c r="Y332" s="19"/>
      <c r="Z332" s="5"/>
      <c r="AA332" s="19"/>
      <c r="AB332" s="5"/>
      <c r="AC332" s="5"/>
      <c r="AD332" s="5"/>
      <c r="AE332" s="5"/>
      <c r="AF332" s="30"/>
      <c r="AG332" s="30"/>
      <c r="AH332" s="30"/>
      <c r="AI332" s="30"/>
      <c r="AJ332" s="30"/>
      <c r="AK332" s="30"/>
      <c r="AL332" s="28"/>
      <c r="AM332" s="5"/>
      <c r="AN332" s="19"/>
      <c r="AO332" s="19"/>
      <c r="AP332" s="5"/>
      <c r="AQ332" s="5"/>
      <c r="AR332" s="5"/>
      <c r="AS332" s="5"/>
      <c r="AT332" s="5"/>
      <c r="AU332" s="19"/>
      <c r="AV332" s="19"/>
      <c r="AW332" s="5"/>
      <c r="AX332" s="5"/>
      <c r="AY332" s="19"/>
      <c r="AZ332" s="30"/>
      <c r="BA332" s="5"/>
      <c r="BB332" s="31" t="str">
        <f aca="false">IF(OR($T332="",$M332=""),"",$T332-$M332)</f>
        <v/>
      </c>
      <c r="BC332" s="32" t="str">
        <f aca="false">IF(OR($T332="",$M332="",$M332=0),"",($T332-$M332)/$M332)</f>
        <v/>
      </c>
      <c r="BD332" s="31" t="str">
        <f aca="false">IF(OR($U332="",$M332=""),"",$U332-$M332)</f>
        <v/>
      </c>
      <c r="BE332" s="32" t="str">
        <f aca="false">IF(OR($U332="",$M332="",$M332=0),"",($U332-$M332)/$M332)</f>
        <v/>
      </c>
      <c r="BF332" s="32" t="str">
        <f aca="false">IF(OR($U332="",$J332="",$J332=0),"",($U332-$J332)/$J332)</f>
        <v/>
      </c>
      <c r="BG332" s="32" t="str">
        <f aca="false">IF(OR($M332="",$K332="",$K332=0),"",($M332-$K332)/$K332)</f>
        <v/>
      </c>
      <c r="BH332" s="32" t="str">
        <f aca="false">IF(OR($W332="",$N332="",$N332=0),"",($W332-$N332)/$N332)</f>
        <v/>
      </c>
      <c r="BI332" s="33" t="str">
        <f aca="false">IF(OR($O332="",$X332=""),"",$O332-$X332)</f>
        <v/>
      </c>
      <c r="BJ332" s="33" t="str">
        <f aca="false">IF(OR($P332="",$Y332=""),"",$P332-$Y332)</f>
        <v/>
      </c>
      <c r="BK332" s="34" t="str">
        <f aca="false">IF(OR($AN332="",$AO332="",$AN332=0),"",$AO332/$AN332)</f>
        <v/>
      </c>
      <c r="BL332" s="34" t="str">
        <f aca="false">IF(OR($AU332="",$AV332="",$AU332=0),"",$AV332/$AU332)</f>
        <v/>
      </c>
      <c r="BM332" s="7" t="str">
        <f aca="false">IF($Z332="","",IF(AND($Z332="Y",$AB332&lt;&gt;"N",$AC332&lt;&gt;"Y"),"Y","N"))</f>
        <v/>
      </c>
      <c r="BN332" s="7" t="str">
        <f aca="false">IF($AH332="","",IF($Z332&lt;&gt;"Y","undefined",IF($AH332&lt;=1,"Y","N")))</f>
        <v/>
      </c>
      <c r="BO332" s="7" t="str">
        <f aca="false">IF($AH332="","",IF($Z332&lt;&gt;"Y","undefined",IF($AH332&lt;=10,"Y","N")))</f>
        <v/>
      </c>
      <c r="BP332" s="7" t="str">
        <f aca="false">IF($AH332="","",IF($Z332&lt;&gt;"Y","undefined",IF($AH332&lt;=100,"Y","N")))</f>
        <v/>
      </c>
    </row>
    <row r="333" customFormat="false" ht="15" hidden="false" customHeight="false" outlineLevel="0" collapsed="false">
      <c r="A333" s="7" t="str">
        <f aca="false">IF($B333="","",$B333&amp;"|"&amp;$C333&amp;"|"&amp;$F333)</f>
        <v/>
      </c>
      <c r="B333" s="5"/>
      <c r="C333" s="5"/>
      <c r="D333" s="5"/>
      <c r="E333" s="5"/>
      <c r="F333" s="5"/>
      <c r="G333" s="5"/>
      <c r="H333" s="5"/>
      <c r="I333" s="5"/>
      <c r="J333" s="20"/>
      <c r="K333" s="20"/>
      <c r="L333" s="28"/>
      <c r="M333" s="20"/>
      <c r="N333" s="28"/>
      <c r="O333" s="19"/>
      <c r="P333" s="19"/>
      <c r="Q333" s="5"/>
      <c r="R333" s="19"/>
      <c r="S333" s="5"/>
      <c r="T333" s="20"/>
      <c r="U333" s="20"/>
      <c r="V333" s="29"/>
      <c r="W333" s="28"/>
      <c r="X333" s="19"/>
      <c r="Y333" s="19"/>
      <c r="Z333" s="5"/>
      <c r="AA333" s="19"/>
      <c r="AB333" s="5"/>
      <c r="AC333" s="5"/>
      <c r="AD333" s="5"/>
      <c r="AE333" s="5"/>
      <c r="AF333" s="30"/>
      <c r="AG333" s="30"/>
      <c r="AH333" s="30"/>
      <c r="AI333" s="30"/>
      <c r="AJ333" s="30"/>
      <c r="AK333" s="30"/>
      <c r="AL333" s="28"/>
      <c r="AM333" s="5"/>
      <c r="AN333" s="19"/>
      <c r="AO333" s="19"/>
      <c r="AP333" s="5"/>
      <c r="AQ333" s="5"/>
      <c r="AR333" s="5"/>
      <c r="AS333" s="5"/>
      <c r="AT333" s="5"/>
      <c r="AU333" s="19"/>
      <c r="AV333" s="19"/>
      <c r="AW333" s="5"/>
      <c r="AX333" s="5"/>
      <c r="AY333" s="19"/>
      <c r="AZ333" s="30"/>
      <c r="BA333" s="5"/>
      <c r="BB333" s="31" t="str">
        <f aca="false">IF(OR($T333="",$M333=""),"",$T333-$M333)</f>
        <v/>
      </c>
      <c r="BC333" s="32" t="str">
        <f aca="false">IF(OR($T333="",$M333="",$M333=0),"",($T333-$M333)/$M333)</f>
        <v/>
      </c>
      <c r="BD333" s="31" t="str">
        <f aca="false">IF(OR($U333="",$M333=""),"",$U333-$M333)</f>
        <v/>
      </c>
      <c r="BE333" s="32" t="str">
        <f aca="false">IF(OR($U333="",$M333="",$M333=0),"",($U333-$M333)/$M333)</f>
        <v/>
      </c>
      <c r="BF333" s="32" t="str">
        <f aca="false">IF(OR($U333="",$J333="",$J333=0),"",($U333-$J333)/$J333)</f>
        <v/>
      </c>
      <c r="BG333" s="32" t="str">
        <f aca="false">IF(OR($M333="",$K333="",$K333=0),"",($M333-$K333)/$K333)</f>
        <v/>
      </c>
      <c r="BH333" s="32" t="str">
        <f aca="false">IF(OR($W333="",$N333="",$N333=0),"",($W333-$N333)/$N333)</f>
        <v/>
      </c>
      <c r="BI333" s="33" t="str">
        <f aca="false">IF(OR($O333="",$X333=""),"",$O333-$X333)</f>
        <v/>
      </c>
      <c r="BJ333" s="33" t="str">
        <f aca="false">IF(OR($P333="",$Y333=""),"",$P333-$Y333)</f>
        <v/>
      </c>
      <c r="BK333" s="34" t="str">
        <f aca="false">IF(OR($AN333="",$AO333="",$AN333=0),"",$AO333/$AN333)</f>
        <v/>
      </c>
      <c r="BL333" s="34" t="str">
        <f aca="false">IF(OR($AU333="",$AV333="",$AU333=0),"",$AV333/$AU333)</f>
        <v/>
      </c>
      <c r="BM333" s="7" t="str">
        <f aca="false">IF($Z333="","",IF(AND($Z333="Y",$AB333&lt;&gt;"N",$AC333&lt;&gt;"Y"),"Y","N"))</f>
        <v/>
      </c>
      <c r="BN333" s="7" t="str">
        <f aca="false">IF($AH333="","",IF($Z333&lt;&gt;"Y","undefined",IF($AH333&lt;=1,"Y","N")))</f>
        <v/>
      </c>
      <c r="BO333" s="7" t="str">
        <f aca="false">IF($AH333="","",IF($Z333&lt;&gt;"Y","undefined",IF($AH333&lt;=10,"Y","N")))</f>
        <v/>
      </c>
      <c r="BP333" s="7" t="str">
        <f aca="false">IF($AH333="","",IF($Z333&lt;&gt;"Y","undefined",IF($AH333&lt;=100,"Y","N")))</f>
        <v/>
      </c>
    </row>
    <row r="334" customFormat="false" ht="15" hidden="false" customHeight="false" outlineLevel="0" collapsed="false">
      <c r="A334" s="7" t="str">
        <f aca="false">IF($B334="","",$B334&amp;"|"&amp;$C334&amp;"|"&amp;$F334)</f>
        <v/>
      </c>
      <c r="B334" s="5"/>
      <c r="C334" s="5"/>
      <c r="D334" s="5"/>
      <c r="E334" s="5"/>
      <c r="F334" s="5"/>
      <c r="G334" s="5"/>
      <c r="H334" s="5"/>
      <c r="I334" s="5"/>
      <c r="J334" s="20"/>
      <c r="K334" s="20"/>
      <c r="L334" s="28"/>
      <c r="M334" s="20"/>
      <c r="N334" s="28"/>
      <c r="O334" s="19"/>
      <c r="P334" s="19"/>
      <c r="Q334" s="5"/>
      <c r="R334" s="19"/>
      <c r="S334" s="5"/>
      <c r="T334" s="20"/>
      <c r="U334" s="20"/>
      <c r="V334" s="29"/>
      <c r="W334" s="28"/>
      <c r="X334" s="19"/>
      <c r="Y334" s="19"/>
      <c r="Z334" s="5"/>
      <c r="AA334" s="19"/>
      <c r="AB334" s="5"/>
      <c r="AC334" s="5"/>
      <c r="AD334" s="5"/>
      <c r="AE334" s="5"/>
      <c r="AF334" s="30"/>
      <c r="AG334" s="30"/>
      <c r="AH334" s="30"/>
      <c r="AI334" s="30"/>
      <c r="AJ334" s="30"/>
      <c r="AK334" s="30"/>
      <c r="AL334" s="28"/>
      <c r="AM334" s="5"/>
      <c r="AN334" s="19"/>
      <c r="AO334" s="19"/>
      <c r="AP334" s="5"/>
      <c r="AQ334" s="5"/>
      <c r="AR334" s="5"/>
      <c r="AS334" s="5"/>
      <c r="AT334" s="5"/>
      <c r="AU334" s="19"/>
      <c r="AV334" s="19"/>
      <c r="AW334" s="5"/>
      <c r="AX334" s="5"/>
      <c r="AY334" s="19"/>
      <c r="AZ334" s="30"/>
      <c r="BA334" s="5"/>
      <c r="BB334" s="31" t="str">
        <f aca="false">IF(OR($T334="",$M334=""),"",$T334-$M334)</f>
        <v/>
      </c>
      <c r="BC334" s="32" t="str">
        <f aca="false">IF(OR($T334="",$M334="",$M334=0),"",($T334-$M334)/$M334)</f>
        <v/>
      </c>
      <c r="BD334" s="31" t="str">
        <f aca="false">IF(OR($U334="",$M334=""),"",$U334-$M334)</f>
        <v/>
      </c>
      <c r="BE334" s="32" t="str">
        <f aca="false">IF(OR($U334="",$M334="",$M334=0),"",($U334-$M334)/$M334)</f>
        <v/>
      </c>
      <c r="BF334" s="32" t="str">
        <f aca="false">IF(OR($U334="",$J334="",$J334=0),"",($U334-$J334)/$J334)</f>
        <v/>
      </c>
      <c r="BG334" s="32" t="str">
        <f aca="false">IF(OR($M334="",$K334="",$K334=0),"",($M334-$K334)/$K334)</f>
        <v/>
      </c>
      <c r="BH334" s="32" t="str">
        <f aca="false">IF(OR($W334="",$N334="",$N334=0),"",($W334-$N334)/$N334)</f>
        <v/>
      </c>
      <c r="BI334" s="33" t="str">
        <f aca="false">IF(OR($O334="",$X334=""),"",$O334-$X334)</f>
        <v/>
      </c>
      <c r="BJ334" s="33" t="str">
        <f aca="false">IF(OR($P334="",$Y334=""),"",$P334-$Y334)</f>
        <v/>
      </c>
      <c r="BK334" s="34" t="str">
        <f aca="false">IF(OR($AN334="",$AO334="",$AN334=0),"",$AO334/$AN334)</f>
        <v/>
      </c>
      <c r="BL334" s="34" t="str">
        <f aca="false">IF(OR($AU334="",$AV334="",$AU334=0),"",$AV334/$AU334)</f>
        <v/>
      </c>
      <c r="BM334" s="7" t="str">
        <f aca="false">IF($Z334="","",IF(AND($Z334="Y",$AB334&lt;&gt;"N",$AC334&lt;&gt;"Y"),"Y","N"))</f>
        <v/>
      </c>
      <c r="BN334" s="7" t="str">
        <f aca="false">IF($AH334="","",IF($Z334&lt;&gt;"Y","undefined",IF($AH334&lt;=1,"Y","N")))</f>
        <v/>
      </c>
      <c r="BO334" s="7" t="str">
        <f aca="false">IF($AH334="","",IF($Z334&lt;&gt;"Y","undefined",IF($AH334&lt;=10,"Y","N")))</f>
        <v/>
      </c>
      <c r="BP334" s="7" t="str">
        <f aca="false">IF($AH334="","",IF($Z334&lt;&gt;"Y","undefined",IF($AH334&lt;=100,"Y","N")))</f>
        <v/>
      </c>
    </row>
    <row r="335" customFormat="false" ht="15" hidden="false" customHeight="false" outlineLevel="0" collapsed="false">
      <c r="A335" s="7" t="str">
        <f aca="false">IF($B335="","",$B335&amp;"|"&amp;$C335&amp;"|"&amp;$F335)</f>
        <v/>
      </c>
      <c r="B335" s="5"/>
      <c r="C335" s="5"/>
      <c r="D335" s="5"/>
      <c r="E335" s="5"/>
      <c r="F335" s="5"/>
      <c r="G335" s="5"/>
      <c r="H335" s="5"/>
      <c r="I335" s="5"/>
      <c r="J335" s="20"/>
      <c r="K335" s="20"/>
      <c r="L335" s="28"/>
      <c r="M335" s="20"/>
      <c r="N335" s="28"/>
      <c r="O335" s="19"/>
      <c r="P335" s="19"/>
      <c r="Q335" s="5"/>
      <c r="R335" s="19"/>
      <c r="S335" s="5"/>
      <c r="T335" s="20"/>
      <c r="U335" s="20"/>
      <c r="V335" s="29"/>
      <c r="W335" s="28"/>
      <c r="X335" s="19"/>
      <c r="Y335" s="19"/>
      <c r="Z335" s="5"/>
      <c r="AA335" s="19"/>
      <c r="AB335" s="5"/>
      <c r="AC335" s="5"/>
      <c r="AD335" s="5"/>
      <c r="AE335" s="5"/>
      <c r="AF335" s="30"/>
      <c r="AG335" s="30"/>
      <c r="AH335" s="30"/>
      <c r="AI335" s="30"/>
      <c r="AJ335" s="30"/>
      <c r="AK335" s="30"/>
      <c r="AL335" s="28"/>
      <c r="AM335" s="5"/>
      <c r="AN335" s="19"/>
      <c r="AO335" s="19"/>
      <c r="AP335" s="5"/>
      <c r="AQ335" s="5"/>
      <c r="AR335" s="5"/>
      <c r="AS335" s="5"/>
      <c r="AT335" s="5"/>
      <c r="AU335" s="19"/>
      <c r="AV335" s="19"/>
      <c r="AW335" s="5"/>
      <c r="AX335" s="5"/>
      <c r="AY335" s="19"/>
      <c r="AZ335" s="30"/>
      <c r="BA335" s="5"/>
      <c r="BB335" s="31" t="str">
        <f aca="false">IF(OR($T335="",$M335=""),"",$T335-$M335)</f>
        <v/>
      </c>
      <c r="BC335" s="32" t="str">
        <f aca="false">IF(OR($T335="",$M335="",$M335=0),"",($T335-$M335)/$M335)</f>
        <v/>
      </c>
      <c r="BD335" s="31" t="str">
        <f aca="false">IF(OR($U335="",$M335=""),"",$U335-$M335)</f>
        <v/>
      </c>
      <c r="BE335" s="32" t="str">
        <f aca="false">IF(OR($U335="",$M335="",$M335=0),"",($U335-$M335)/$M335)</f>
        <v/>
      </c>
      <c r="BF335" s="32" t="str">
        <f aca="false">IF(OR($U335="",$J335="",$J335=0),"",($U335-$J335)/$J335)</f>
        <v/>
      </c>
      <c r="BG335" s="32" t="str">
        <f aca="false">IF(OR($M335="",$K335="",$K335=0),"",($M335-$K335)/$K335)</f>
        <v/>
      </c>
      <c r="BH335" s="32" t="str">
        <f aca="false">IF(OR($W335="",$N335="",$N335=0),"",($W335-$N335)/$N335)</f>
        <v/>
      </c>
      <c r="BI335" s="33" t="str">
        <f aca="false">IF(OR($O335="",$X335=""),"",$O335-$X335)</f>
        <v/>
      </c>
      <c r="BJ335" s="33" t="str">
        <f aca="false">IF(OR($P335="",$Y335=""),"",$P335-$Y335)</f>
        <v/>
      </c>
      <c r="BK335" s="34" t="str">
        <f aca="false">IF(OR($AN335="",$AO335="",$AN335=0),"",$AO335/$AN335)</f>
        <v/>
      </c>
      <c r="BL335" s="34" t="str">
        <f aca="false">IF(OR($AU335="",$AV335="",$AU335=0),"",$AV335/$AU335)</f>
        <v/>
      </c>
      <c r="BM335" s="7" t="str">
        <f aca="false">IF($Z335="","",IF(AND($Z335="Y",$AB335&lt;&gt;"N",$AC335&lt;&gt;"Y"),"Y","N"))</f>
        <v/>
      </c>
      <c r="BN335" s="7" t="str">
        <f aca="false">IF($AH335="","",IF($Z335&lt;&gt;"Y","undefined",IF($AH335&lt;=1,"Y","N")))</f>
        <v/>
      </c>
      <c r="BO335" s="7" t="str">
        <f aca="false">IF($AH335="","",IF($Z335&lt;&gt;"Y","undefined",IF($AH335&lt;=10,"Y","N")))</f>
        <v/>
      </c>
      <c r="BP335" s="7" t="str">
        <f aca="false">IF($AH335="","",IF($Z335&lt;&gt;"Y","undefined",IF($AH335&lt;=100,"Y","N")))</f>
        <v/>
      </c>
    </row>
    <row r="336" customFormat="false" ht="15" hidden="false" customHeight="false" outlineLevel="0" collapsed="false">
      <c r="A336" s="7" t="str">
        <f aca="false">IF($B336="","",$B336&amp;"|"&amp;$C336&amp;"|"&amp;$F336)</f>
        <v/>
      </c>
      <c r="B336" s="5"/>
      <c r="C336" s="5"/>
      <c r="D336" s="5"/>
      <c r="E336" s="5"/>
      <c r="F336" s="5"/>
      <c r="G336" s="5"/>
      <c r="H336" s="5"/>
      <c r="I336" s="5"/>
      <c r="J336" s="20"/>
      <c r="K336" s="20"/>
      <c r="L336" s="28"/>
      <c r="M336" s="20"/>
      <c r="N336" s="28"/>
      <c r="O336" s="19"/>
      <c r="P336" s="19"/>
      <c r="Q336" s="5"/>
      <c r="R336" s="19"/>
      <c r="S336" s="5"/>
      <c r="T336" s="20"/>
      <c r="U336" s="20"/>
      <c r="V336" s="29"/>
      <c r="W336" s="28"/>
      <c r="X336" s="19"/>
      <c r="Y336" s="19"/>
      <c r="Z336" s="5"/>
      <c r="AA336" s="19"/>
      <c r="AB336" s="5"/>
      <c r="AC336" s="5"/>
      <c r="AD336" s="5"/>
      <c r="AE336" s="5"/>
      <c r="AF336" s="30"/>
      <c r="AG336" s="30"/>
      <c r="AH336" s="30"/>
      <c r="AI336" s="30"/>
      <c r="AJ336" s="30"/>
      <c r="AK336" s="30"/>
      <c r="AL336" s="28"/>
      <c r="AM336" s="5"/>
      <c r="AN336" s="19"/>
      <c r="AO336" s="19"/>
      <c r="AP336" s="5"/>
      <c r="AQ336" s="5"/>
      <c r="AR336" s="5"/>
      <c r="AS336" s="5"/>
      <c r="AT336" s="5"/>
      <c r="AU336" s="19"/>
      <c r="AV336" s="19"/>
      <c r="AW336" s="5"/>
      <c r="AX336" s="5"/>
      <c r="AY336" s="19"/>
      <c r="AZ336" s="30"/>
      <c r="BA336" s="5"/>
      <c r="BB336" s="31" t="str">
        <f aca="false">IF(OR($T336="",$M336=""),"",$T336-$M336)</f>
        <v/>
      </c>
      <c r="BC336" s="32" t="str">
        <f aca="false">IF(OR($T336="",$M336="",$M336=0),"",($T336-$M336)/$M336)</f>
        <v/>
      </c>
      <c r="BD336" s="31" t="str">
        <f aca="false">IF(OR($U336="",$M336=""),"",$U336-$M336)</f>
        <v/>
      </c>
      <c r="BE336" s="32" t="str">
        <f aca="false">IF(OR($U336="",$M336="",$M336=0),"",($U336-$M336)/$M336)</f>
        <v/>
      </c>
      <c r="BF336" s="32" t="str">
        <f aca="false">IF(OR($U336="",$J336="",$J336=0),"",($U336-$J336)/$J336)</f>
        <v/>
      </c>
      <c r="BG336" s="32" t="str">
        <f aca="false">IF(OR($M336="",$K336="",$K336=0),"",($M336-$K336)/$K336)</f>
        <v/>
      </c>
      <c r="BH336" s="32" t="str">
        <f aca="false">IF(OR($W336="",$N336="",$N336=0),"",($W336-$N336)/$N336)</f>
        <v/>
      </c>
      <c r="BI336" s="33" t="str">
        <f aca="false">IF(OR($O336="",$X336=""),"",$O336-$X336)</f>
        <v/>
      </c>
      <c r="BJ336" s="33" t="str">
        <f aca="false">IF(OR($P336="",$Y336=""),"",$P336-$Y336)</f>
        <v/>
      </c>
      <c r="BK336" s="34" t="str">
        <f aca="false">IF(OR($AN336="",$AO336="",$AN336=0),"",$AO336/$AN336)</f>
        <v/>
      </c>
      <c r="BL336" s="34" t="str">
        <f aca="false">IF(OR($AU336="",$AV336="",$AU336=0),"",$AV336/$AU336)</f>
        <v/>
      </c>
      <c r="BM336" s="7" t="str">
        <f aca="false">IF($Z336="","",IF(AND($Z336="Y",$AB336&lt;&gt;"N",$AC336&lt;&gt;"Y"),"Y","N"))</f>
        <v/>
      </c>
      <c r="BN336" s="7" t="str">
        <f aca="false">IF($AH336="","",IF($Z336&lt;&gt;"Y","undefined",IF($AH336&lt;=1,"Y","N")))</f>
        <v/>
      </c>
      <c r="BO336" s="7" t="str">
        <f aca="false">IF($AH336="","",IF($Z336&lt;&gt;"Y","undefined",IF($AH336&lt;=10,"Y","N")))</f>
        <v/>
      </c>
      <c r="BP336" s="7" t="str">
        <f aca="false">IF($AH336="","",IF($Z336&lt;&gt;"Y","undefined",IF($AH336&lt;=100,"Y","N")))</f>
        <v/>
      </c>
    </row>
    <row r="337" customFormat="false" ht="15" hidden="false" customHeight="false" outlineLevel="0" collapsed="false">
      <c r="A337" s="7" t="str">
        <f aca="false">IF($B337="","",$B337&amp;"|"&amp;$C337&amp;"|"&amp;$F337)</f>
        <v/>
      </c>
      <c r="B337" s="5"/>
      <c r="C337" s="5"/>
      <c r="D337" s="5"/>
      <c r="E337" s="5"/>
      <c r="F337" s="5"/>
      <c r="G337" s="5"/>
      <c r="H337" s="5"/>
      <c r="I337" s="5"/>
      <c r="J337" s="20"/>
      <c r="K337" s="20"/>
      <c r="L337" s="28"/>
      <c r="M337" s="20"/>
      <c r="N337" s="28"/>
      <c r="O337" s="19"/>
      <c r="P337" s="19"/>
      <c r="Q337" s="5"/>
      <c r="R337" s="19"/>
      <c r="S337" s="5"/>
      <c r="T337" s="20"/>
      <c r="U337" s="20"/>
      <c r="V337" s="29"/>
      <c r="W337" s="28"/>
      <c r="X337" s="19"/>
      <c r="Y337" s="19"/>
      <c r="Z337" s="5"/>
      <c r="AA337" s="19"/>
      <c r="AB337" s="5"/>
      <c r="AC337" s="5"/>
      <c r="AD337" s="5"/>
      <c r="AE337" s="5"/>
      <c r="AF337" s="30"/>
      <c r="AG337" s="30"/>
      <c r="AH337" s="30"/>
      <c r="AI337" s="30"/>
      <c r="AJ337" s="30"/>
      <c r="AK337" s="30"/>
      <c r="AL337" s="28"/>
      <c r="AM337" s="5"/>
      <c r="AN337" s="19"/>
      <c r="AO337" s="19"/>
      <c r="AP337" s="5"/>
      <c r="AQ337" s="5"/>
      <c r="AR337" s="5"/>
      <c r="AS337" s="5"/>
      <c r="AT337" s="5"/>
      <c r="AU337" s="19"/>
      <c r="AV337" s="19"/>
      <c r="AW337" s="5"/>
      <c r="AX337" s="5"/>
      <c r="AY337" s="19"/>
      <c r="AZ337" s="30"/>
      <c r="BA337" s="5"/>
      <c r="BB337" s="31" t="str">
        <f aca="false">IF(OR($T337="",$M337=""),"",$T337-$M337)</f>
        <v/>
      </c>
      <c r="BC337" s="32" t="str">
        <f aca="false">IF(OR($T337="",$M337="",$M337=0),"",($T337-$M337)/$M337)</f>
        <v/>
      </c>
      <c r="BD337" s="31" t="str">
        <f aca="false">IF(OR($U337="",$M337=""),"",$U337-$M337)</f>
        <v/>
      </c>
      <c r="BE337" s="32" t="str">
        <f aca="false">IF(OR($U337="",$M337="",$M337=0),"",($U337-$M337)/$M337)</f>
        <v/>
      </c>
      <c r="BF337" s="32" t="str">
        <f aca="false">IF(OR($U337="",$J337="",$J337=0),"",($U337-$J337)/$J337)</f>
        <v/>
      </c>
      <c r="BG337" s="32" t="str">
        <f aca="false">IF(OR($M337="",$K337="",$K337=0),"",($M337-$K337)/$K337)</f>
        <v/>
      </c>
      <c r="BH337" s="32" t="str">
        <f aca="false">IF(OR($W337="",$N337="",$N337=0),"",($W337-$N337)/$N337)</f>
        <v/>
      </c>
      <c r="BI337" s="33" t="str">
        <f aca="false">IF(OR($O337="",$X337=""),"",$O337-$X337)</f>
        <v/>
      </c>
      <c r="BJ337" s="33" t="str">
        <f aca="false">IF(OR($P337="",$Y337=""),"",$P337-$Y337)</f>
        <v/>
      </c>
      <c r="BK337" s="34" t="str">
        <f aca="false">IF(OR($AN337="",$AO337="",$AN337=0),"",$AO337/$AN337)</f>
        <v/>
      </c>
      <c r="BL337" s="34" t="str">
        <f aca="false">IF(OR($AU337="",$AV337="",$AU337=0),"",$AV337/$AU337)</f>
        <v/>
      </c>
      <c r="BM337" s="7" t="str">
        <f aca="false">IF($Z337="","",IF(AND($Z337="Y",$AB337&lt;&gt;"N",$AC337&lt;&gt;"Y"),"Y","N"))</f>
        <v/>
      </c>
      <c r="BN337" s="7" t="str">
        <f aca="false">IF($AH337="","",IF($Z337&lt;&gt;"Y","undefined",IF($AH337&lt;=1,"Y","N")))</f>
        <v/>
      </c>
      <c r="BO337" s="7" t="str">
        <f aca="false">IF($AH337="","",IF($Z337&lt;&gt;"Y","undefined",IF($AH337&lt;=10,"Y","N")))</f>
        <v/>
      </c>
      <c r="BP337" s="7" t="str">
        <f aca="false">IF($AH337="","",IF($Z337&lt;&gt;"Y","undefined",IF($AH337&lt;=100,"Y","N")))</f>
        <v/>
      </c>
    </row>
    <row r="338" customFormat="false" ht="15" hidden="false" customHeight="false" outlineLevel="0" collapsed="false">
      <c r="A338" s="7" t="str">
        <f aca="false">IF($B338="","",$B338&amp;"|"&amp;$C338&amp;"|"&amp;$F338)</f>
        <v/>
      </c>
      <c r="B338" s="5"/>
      <c r="C338" s="5"/>
      <c r="D338" s="5"/>
      <c r="E338" s="5"/>
      <c r="F338" s="5"/>
      <c r="G338" s="5"/>
      <c r="H338" s="5"/>
      <c r="I338" s="5"/>
      <c r="J338" s="20"/>
      <c r="K338" s="20"/>
      <c r="L338" s="28"/>
      <c r="M338" s="20"/>
      <c r="N338" s="28"/>
      <c r="O338" s="19"/>
      <c r="P338" s="19"/>
      <c r="Q338" s="5"/>
      <c r="R338" s="19"/>
      <c r="S338" s="5"/>
      <c r="T338" s="20"/>
      <c r="U338" s="20"/>
      <c r="V338" s="29"/>
      <c r="W338" s="28"/>
      <c r="X338" s="19"/>
      <c r="Y338" s="19"/>
      <c r="Z338" s="5"/>
      <c r="AA338" s="19"/>
      <c r="AB338" s="5"/>
      <c r="AC338" s="5"/>
      <c r="AD338" s="5"/>
      <c r="AE338" s="5"/>
      <c r="AF338" s="30"/>
      <c r="AG338" s="30"/>
      <c r="AH338" s="30"/>
      <c r="AI338" s="30"/>
      <c r="AJ338" s="30"/>
      <c r="AK338" s="30"/>
      <c r="AL338" s="28"/>
      <c r="AM338" s="5"/>
      <c r="AN338" s="19"/>
      <c r="AO338" s="19"/>
      <c r="AP338" s="5"/>
      <c r="AQ338" s="5"/>
      <c r="AR338" s="5"/>
      <c r="AS338" s="5"/>
      <c r="AT338" s="5"/>
      <c r="AU338" s="19"/>
      <c r="AV338" s="19"/>
      <c r="AW338" s="5"/>
      <c r="AX338" s="5"/>
      <c r="AY338" s="19"/>
      <c r="AZ338" s="30"/>
      <c r="BA338" s="5"/>
      <c r="BB338" s="31" t="str">
        <f aca="false">IF(OR($T338="",$M338=""),"",$T338-$M338)</f>
        <v/>
      </c>
      <c r="BC338" s="32" t="str">
        <f aca="false">IF(OR($T338="",$M338="",$M338=0),"",($T338-$M338)/$M338)</f>
        <v/>
      </c>
      <c r="BD338" s="31" t="str">
        <f aca="false">IF(OR($U338="",$M338=""),"",$U338-$M338)</f>
        <v/>
      </c>
      <c r="BE338" s="32" t="str">
        <f aca="false">IF(OR($U338="",$M338="",$M338=0),"",($U338-$M338)/$M338)</f>
        <v/>
      </c>
      <c r="BF338" s="32" t="str">
        <f aca="false">IF(OR($U338="",$J338="",$J338=0),"",($U338-$J338)/$J338)</f>
        <v/>
      </c>
      <c r="BG338" s="32" t="str">
        <f aca="false">IF(OR($M338="",$K338="",$K338=0),"",($M338-$K338)/$K338)</f>
        <v/>
      </c>
      <c r="BH338" s="32" t="str">
        <f aca="false">IF(OR($W338="",$N338="",$N338=0),"",($W338-$N338)/$N338)</f>
        <v/>
      </c>
      <c r="BI338" s="33" t="str">
        <f aca="false">IF(OR($O338="",$X338=""),"",$O338-$X338)</f>
        <v/>
      </c>
      <c r="BJ338" s="33" t="str">
        <f aca="false">IF(OR($P338="",$Y338=""),"",$P338-$Y338)</f>
        <v/>
      </c>
      <c r="BK338" s="34" t="str">
        <f aca="false">IF(OR($AN338="",$AO338="",$AN338=0),"",$AO338/$AN338)</f>
        <v/>
      </c>
      <c r="BL338" s="34" t="str">
        <f aca="false">IF(OR($AU338="",$AV338="",$AU338=0),"",$AV338/$AU338)</f>
        <v/>
      </c>
      <c r="BM338" s="7" t="str">
        <f aca="false">IF($Z338="","",IF(AND($Z338="Y",$AB338&lt;&gt;"N",$AC338&lt;&gt;"Y"),"Y","N"))</f>
        <v/>
      </c>
      <c r="BN338" s="7" t="str">
        <f aca="false">IF($AH338="","",IF($Z338&lt;&gt;"Y","undefined",IF($AH338&lt;=1,"Y","N")))</f>
        <v/>
      </c>
      <c r="BO338" s="7" t="str">
        <f aca="false">IF($AH338="","",IF($Z338&lt;&gt;"Y","undefined",IF($AH338&lt;=10,"Y","N")))</f>
        <v/>
      </c>
      <c r="BP338" s="7" t="str">
        <f aca="false">IF($AH338="","",IF($Z338&lt;&gt;"Y","undefined",IF($AH338&lt;=100,"Y","N")))</f>
        <v/>
      </c>
    </row>
    <row r="339" customFormat="false" ht="15" hidden="false" customHeight="false" outlineLevel="0" collapsed="false">
      <c r="A339" s="7" t="str">
        <f aca="false">IF($B339="","",$B339&amp;"|"&amp;$C339&amp;"|"&amp;$F339)</f>
        <v/>
      </c>
      <c r="B339" s="5"/>
      <c r="C339" s="5"/>
      <c r="D339" s="5"/>
      <c r="E339" s="5"/>
      <c r="F339" s="5"/>
      <c r="G339" s="5"/>
      <c r="H339" s="5"/>
      <c r="I339" s="5"/>
      <c r="J339" s="20"/>
      <c r="K339" s="20"/>
      <c r="L339" s="28"/>
      <c r="M339" s="20"/>
      <c r="N339" s="28"/>
      <c r="O339" s="19"/>
      <c r="P339" s="19"/>
      <c r="Q339" s="5"/>
      <c r="R339" s="19"/>
      <c r="S339" s="5"/>
      <c r="T339" s="20"/>
      <c r="U339" s="20"/>
      <c r="V339" s="29"/>
      <c r="W339" s="28"/>
      <c r="X339" s="19"/>
      <c r="Y339" s="19"/>
      <c r="Z339" s="5"/>
      <c r="AA339" s="19"/>
      <c r="AB339" s="5"/>
      <c r="AC339" s="5"/>
      <c r="AD339" s="5"/>
      <c r="AE339" s="5"/>
      <c r="AF339" s="30"/>
      <c r="AG339" s="30"/>
      <c r="AH339" s="30"/>
      <c r="AI339" s="30"/>
      <c r="AJ339" s="30"/>
      <c r="AK339" s="30"/>
      <c r="AL339" s="28"/>
      <c r="AM339" s="5"/>
      <c r="AN339" s="19"/>
      <c r="AO339" s="19"/>
      <c r="AP339" s="5"/>
      <c r="AQ339" s="5"/>
      <c r="AR339" s="5"/>
      <c r="AS339" s="5"/>
      <c r="AT339" s="5"/>
      <c r="AU339" s="19"/>
      <c r="AV339" s="19"/>
      <c r="AW339" s="5"/>
      <c r="AX339" s="5"/>
      <c r="AY339" s="19"/>
      <c r="AZ339" s="30"/>
      <c r="BA339" s="5"/>
      <c r="BB339" s="31" t="str">
        <f aca="false">IF(OR($T339="",$M339=""),"",$T339-$M339)</f>
        <v/>
      </c>
      <c r="BC339" s="32" t="str">
        <f aca="false">IF(OR($T339="",$M339="",$M339=0),"",($T339-$M339)/$M339)</f>
        <v/>
      </c>
      <c r="BD339" s="31" t="str">
        <f aca="false">IF(OR($U339="",$M339=""),"",$U339-$M339)</f>
        <v/>
      </c>
      <c r="BE339" s="32" t="str">
        <f aca="false">IF(OR($U339="",$M339="",$M339=0),"",($U339-$M339)/$M339)</f>
        <v/>
      </c>
      <c r="BF339" s="32" t="str">
        <f aca="false">IF(OR($U339="",$J339="",$J339=0),"",($U339-$J339)/$J339)</f>
        <v/>
      </c>
      <c r="BG339" s="32" t="str">
        <f aca="false">IF(OR($M339="",$K339="",$K339=0),"",($M339-$K339)/$K339)</f>
        <v/>
      </c>
      <c r="BH339" s="32" t="str">
        <f aca="false">IF(OR($W339="",$N339="",$N339=0),"",($W339-$N339)/$N339)</f>
        <v/>
      </c>
      <c r="BI339" s="33" t="str">
        <f aca="false">IF(OR($O339="",$X339=""),"",$O339-$X339)</f>
        <v/>
      </c>
      <c r="BJ339" s="33" t="str">
        <f aca="false">IF(OR($P339="",$Y339=""),"",$P339-$Y339)</f>
        <v/>
      </c>
      <c r="BK339" s="34" t="str">
        <f aca="false">IF(OR($AN339="",$AO339="",$AN339=0),"",$AO339/$AN339)</f>
        <v/>
      </c>
      <c r="BL339" s="34" t="str">
        <f aca="false">IF(OR($AU339="",$AV339="",$AU339=0),"",$AV339/$AU339)</f>
        <v/>
      </c>
      <c r="BM339" s="7" t="str">
        <f aca="false">IF($Z339="","",IF(AND($Z339="Y",$AB339&lt;&gt;"N",$AC339&lt;&gt;"Y"),"Y","N"))</f>
        <v/>
      </c>
      <c r="BN339" s="7" t="str">
        <f aca="false">IF($AH339="","",IF($Z339&lt;&gt;"Y","undefined",IF($AH339&lt;=1,"Y","N")))</f>
        <v/>
      </c>
      <c r="BO339" s="7" t="str">
        <f aca="false">IF($AH339="","",IF($Z339&lt;&gt;"Y","undefined",IF($AH339&lt;=10,"Y","N")))</f>
        <v/>
      </c>
      <c r="BP339" s="7" t="str">
        <f aca="false">IF($AH339="","",IF($Z339&lt;&gt;"Y","undefined",IF($AH339&lt;=100,"Y","N")))</f>
        <v/>
      </c>
    </row>
    <row r="340" customFormat="false" ht="15" hidden="false" customHeight="false" outlineLevel="0" collapsed="false">
      <c r="A340" s="7" t="str">
        <f aca="false">IF($B340="","",$B340&amp;"|"&amp;$C340&amp;"|"&amp;$F340)</f>
        <v/>
      </c>
      <c r="B340" s="5"/>
      <c r="C340" s="5"/>
      <c r="D340" s="5"/>
      <c r="E340" s="5"/>
      <c r="F340" s="5"/>
      <c r="G340" s="5"/>
      <c r="H340" s="5"/>
      <c r="I340" s="5"/>
      <c r="J340" s="20"/>
      <c r="K340" s="20"/>
      <c r="L340" s="28"/>
      <c r="M340" s="20"/>
      <c r="N340" s="28"/>
      <c r="O340" s="19"/>
      <c r="P340" s="19"/>
      <c r="Q340" s="5"/>
      <c r="R340" s="19"/>
      <c r="S340" s="5"/>
      <c r="T340" s="20"/>
      <c r="U340" s="20"/>
      <c r="V340" s="29"/>
      <c r="W340" s="28"/>
      <c r="X340" s="19"/>
      <c r="Y340" s="19"/>
      <c r="Z340" s="5"/>
      <c r="AA340" s="19"/>
      <c r="AB340" s="5"/>
      <c r="AC340" s="5"/>
      <c r="AD340" s="5"/>
      <c r="AE340" s="5"/>
      <c r="AF340" s="30"/>
      <c r="AG340" s="30"/>
      <c r="AH340" s="30"/>
      <c r="AI340" s="30"/>
      <c r="AJ340" s="30"/>
      <c r="AK340" s="30"/>
      <c r="AL340" s="28"/>
      <c r="AM340" s="5"/>
      <c r="AN340" s="19"/>
      <c r="AO340" s="19"/>
      <c r="AP340" s="5"/>
      <c r="AQ340" s="5"/>
      <c r="AR340" s="5"/>
      <c r="AS340" s="5"/>
      <c r="AT340" s="5"/>
      <c r="AU340" s="19"/>
      <c r="AV340" s="19"/>
      <c r="AW340" s="5"/>
      <c r="AX340" s="5"/>
      <c r="AY340" s="19"/>
      <c r="AZ340" s="30"/>
      <c r="BA340" s="5"/>
      <c r="BB340" s="31" t="str">
        <f aca="false">IF(OR($T340="",$M340=""),"",$T340-$M340)</f>
        <v/>
      </c>
      <c r="BC340" s="32" t="str">
        <f aca="false">IF(OR($T340="",$M340="",$M340=0),"",($T340-$M340)/$M340)</f>
        <v/>
      </c>
      <c r="BD340" s="31" t="str">
        <f aca="false">IF(OR($U340="",$M340=""),"",$U340-$M340)</f>
        <v/>
      </c>
      <c r="BE340" s="32" t="str">
        <f aca="false">IF(OR($U340="",$M340="",$M340=0),"",($U340-$M340)/$M340)</f>
        <v/>
      </c>
      <c r="BF340" s="32" t="str">
        <f aca="false">IF(OR($U340="",$J340="",$J340=0),"",($U340-$J340)/$J340)</f>
        <v/>
      </c>
      <c r="BG340" s="32" t="str">
        <f aca="false">IF(OR($M340="",$K340="",$K340=0),"",($M340-$K340)/$K340)</f>
        <v/>
      </c>
      <c r="BH340" s="32" t="str">
        <f aca="false">IF(OR($W340="",$N340="",$N340=0),"",($W340-$N340)/$N340)</f>
        <v/>
      </c>
      <c r="BI340" s="33" t="str">
        <f aca="false">IF(OR($O340="",$X340=""),"",$O340-$X340)</f>
        <v/>
      </c>
      <c r="BJ340" s="33" t="str">
        <f aca="false">IF(OR($P340="",$Y340=""),"",$P340-$Y340)</f>
        <v/>
      </c>
      <c r="BK340" s="34" t="str">
        <f aca="false">IF(OR($AN340="",$AO340="",$AN340=0),"",$AO340/$AN340)</f>
        <v/>
      </c>
      <c r="BL340" s="34" t="str">
        <f aca="false">IF(OR($AU340="",$AV340="",$AU340=0),"",$AV340/$AU340)</f>
        <v/>
      </c>
      <c r="BM340" s="7" t="str">
        <f aca="false">IF($Z340="","",IF(AND($Z340="Y",$AB340&lt;&gt;"N",$AC340&lt;&gt;"Y"),"Y","N"))</f>
        <v/>
      </c>
      <c r="BN340" s="7" t="str">
        <f aca="false">IF($AH340="","",IF($Z340&lt;&gt;"Y","undefined",IF($AH340&lt;=1,"Y","N")))</f>
        <v/>
      </c>
      <c r="BO340" s="7" t="str">
        <f aca="false">IF($AH340="","",IF($Z340&lt;&gt;"Y","undefined",IF($AH340&lt;=10,"Y","N")))</f>
        <v/>
      </c>
      <c r="BP340" s="7" t="str">
        <f aca="false">IF($AH340="","",IF($Z340&lt;&gt;"Y","undefined",IF($AH340&lt;=100,"Y","N")))</f>
        <v/>
      </c>
    </row>
    <row r="341" customFormat="false" ht="15" hidden="false" customHeight="false" outlineLevel="0" collapsed="false">
      <c r="A341" s="7" t="str">
        <f aca="false">IF($B341="","",$B341&amp;"|"&amp;$C341&amp;"|"&amp;$F341)</f>
        <v/>
      </c>
      <c r="B341" s="5"/>
      <c r="C341" s="5"/>
      <c r="D341" s="5"/>
      <c r="E341" s="5"/>
      <c r="F341" s="5"/>
      <c r="G341" s="5"/>
      <c r="H341" s="5"/>
      <c r="I341" s="5"/>
      <c r="J341" s="20"/>
      <c r="K341" s="20"/>
      <c r="L341" s="28"/>
      <c r="M341" s="20"/>
      <c r="N341" s="28"/>
      <c r="O341" s="19"/>
      <c r="P341" s="19"/>
      <c r="Q341" s="5"/>
      <c r="R341" s="19"/>
      <c r="S341" s="5"/>
      <c r="T341" s="20"/>
      <c r="U341" s="20"/>
      <c r="V341" s="29"/>
      <c r="W341" s="28"/>
      <c r="X341" s="19"/>
      <c r="Y341" s="19"/>
      <c r="Z341" s="5"/>
      <c r="AA341" s="19"/>
      <c r="AB341" s="5"/>
      <c r="AC341" s="5"/>
      <c r="AD341" s="5"/>
      <c r="AE341" s="5"/>
      <c r="AF341" s="30"/>
      <c r="AG341" s="30"/>
      <c r="AH341" s="30"/>
      <c r="AI341" s="30"/>
      <c r="AJ341" s="30"/>
      <c r="AK341" s="30"/>
      <c r="AL341" s="28"/>
      <c r="AM341" s="5"/>
      <c r="AN341" s="19"/>
      <c r="AO341" s="19"/>
      <c r="AP341" s="5"/>
      <c r="AQ341" s="5"/>
      <c r="AR341" s="5"/>
      <c r="AS341" s="5"/>
      <c r="AT341" s="5"/>
      <c r="AU341" s="19"/>
      <c r="AV341" s="19"/>
      <c r="AW341" s="5"/>
      <c r="AX341" s="5"/>
      <c r="AY341" s="19"/>
      <c r="AZ341" s="30"/>
      <c r="BA341" s="5"/>
      <c r="BB341" s="31" t="str">
        <f aca="false">IF(OR($T341="",$M341=""),"",$T341-$M341)</f>
        <v/>
      </c>
      <c r="BC341" s="32" t="str">
        <f aca="false">IF(OR($T341="",$M341="",$M341=0),"",($T341-$M341)/$M341)</f>
        <v/>
      </c>
      <c r="BD341" s="31" t="str">
        <f aca="false">IF(OR($U341="",$M341=""),"",$U341-$M341)</f>
        <v/>
      </c>
      <c r="BE341" s="32" t="str">
        <f aca="false">IF(OR($U341="",$M341="",$M341=0),"",($U341-$M341)/$M341)</f>
        <v/>
      </c>
      <c r="BF341" s="32" t="str">
        <f aca="false">IF(OR($U341="",$J341="",$J341=0),"",($U341-$J341)/$J341)</f>
        <v/>
      </c>
      <c r="BG341" s="32" t="str">
        <f aca="false">IF(OR($M341="",$K341="",$K341=0),"",($M341-$K341)/$K341)</f>
        <v/>
      </c>
      <c r="BH341" s="32" t="str">
        <f aca="false">IF(OR($W341="",$N341="",$N341=0),"",($W341-$N341)/$N341)</f>
        <v/>
      </c>
      <c r="BI341" s="33" t="str">
        <f aca="false">IF(OR($O341="",$X341=""),"",$O341-$X341)</f>
        <v/>
      </c>
      <c r="BJ341" s="33" t="str">
        <f aca="false">IF(OR($P341="",$Y341=""),"",$P341-$Y341)</f>
        <v/>
      </c>
      <c r="BK341" s="34" t="str">
        <f aca="false">IF(OR($AN341="",$AO341="",$AN341=0),"",$AO341/$AN341)</f>
        <v/>
      </c>
      <c r="BL341" s="34" t="str">
        <f aca="false">IF(OR($AU341="",$AV341="",$AU341=0),"",$AV341/$AU341)</f>
        <v/>
      </c>
      <c r="BM341" s="7" t="str">
        <f aca="false">IF($Z341="","",IF(AND($Z341="Y",$AB341&lt;&gt;"N",$AC341&lt;&gt;"Y"),"Y","N"))</f>
        <v/>
      </c>
      <c r="BN341" s="7" t="str">
        <f aca="false">IF($AH341="","",IF($Z341&lt;&gt;"Y","undefined",IF($AH341&lt;=1,"Y","N")))</f>
        <v/>
      </c>
      <c r="BO341" s="7" t="str">
        <f aca="false">IF($AH341="","",IF($Z341&lt;&gt;"Y","undefined",IF($AH341&lt;=10,"Y","N")))</f>
        <v/>
      </c>
      <c r="BP341" s="7" t="str">
        <f aca="false">IF($AH341="","",IF($Z341&lt;&gt;"Y","undefined",IF($AH341&lt;=100,"Y","N")))</f>
        <v/>
      </c>
    </row>
    <row r="342" customFormat="false" ht="15" hidden="false" customHeight="false" outlineLevel="0" collapsed="false">
      <c r="A342" s="7" t="str">
        <f aca="false">IF($B342="","",$B342&amp;"|"&amp;$C342&amp;"|"&amp;$F342)</f>
        <v/>
      </c>
      <c r="B342" s="5"/>
      <c r="C342" s="5"/>
      <c r="D342" s="5"/>
      <c r="E342" s="5"/>
      <c r="F342" s="5"/>
      <c r="G342" s="5"/>
      <c r="H342" s="5"/>
      <c r="I342" s="5"/>
      <c r="J342" s="20"/>
      <c r="K342" s="20"/>
      <c r="L342" s="28"/>
      <c r="M342" s="20"/>
      <c r="N342" s="28"/>
      <c r="O342" s="19"/>
      <c r="P342" s="19"/>
      <c r="Q342" s="5"/>
      <c r="R342" s="19"/>
      <c r="S342" s="5"/>
      <c r="T342" s="20"/>
      <c r="U342" s="20"/>
      <c r="V342" s="29"/>
      <c r="W342" s="28"/>
      <c r="X342" s="19"/>
      <c r="Y342" s="19"/>
      <c r="Z342" s="5"/>
      <c r="AA342" s="19"/>
      <c r="AB342" s="5"/>
      <c r="AC342" s="5"/>
      <c r="AD342" s="5"/>
      <c r="AE342" s="5"/>
      <c r="AF342" s="30"/>
      <c r="AG342" s="30"/>
      <c r="AH342" s="30"/>
      <c r="AI342" s="30"/>
      <c r="AJ342" s="30"/>
      <c r="AK342" s="30"/>
      <c r="AL342" s="28"/>
      <c r="AM342" s="5"/>
      <c r="AN342" s="19"/>
      <c r="AO342" s="19"/>
      <c r="AP342" s="5"/>
      <c r="AQ342" s="5"/>
      <c r="AR342" s="5"/>
      <c r="AS342" s="5"/>
      <c r="AT342" s="5"/>
      <c r="AU342" s="19"/>
      <c r="AV342" s="19"/>
      <c r="AW342" s="5"/>
      <c r="AX342" s="5"/>
      <c r="AY342" s="19"/>
      <c r="AZ342" s="30"/>
      <c r="BA342" s="5"/>
      <c r="BB342" s="31" t="str">
        <f aca="false">IF(OR($T342="",$M342=""),"",$T342-$M342)</f>
        <v/>
      </c>
      <c r="BC342" s="32" t="str">
        <f aca="false">IF(OR($T342="",$M342="",$M342=0),"",($T342-$M342)/$M342)</f>
        <v/>
      </c>
      <c r="BD342" s="31" t="str">
        <f aca="false">IF(OR($U342="",$M342=""),"",$U342-$M342)</f>
        <v/>
      </c>
      <c r="BE342" s="32" t="str">
        <f aca="false">IF(OR($U342="",$M342="",$M342=0),"",($U342-$M342)/$M342)</f>
        <v/>
      </c>
      <c r="BF342" s="32" t="str">
        <f aca="false">IF(OR($U342="",$J342="",$J342=0),"",($U342-$J342)/$J342)</f>
        <v/>
      </c>
      <c r="BG342" s="32" t="str">
        <f aca="false">IF(OR($M342="",$K342="",$K342=0),"",($M342-$K342)/$K342)</f>
        <v/>
      </c>
      <c r="BH342" s="32" t="str">
        <f aca="false">IF(OR($W342="",$N342="",$N342=0),"",($W342-$N342)/$N342)</f>
        <v/>
      </c>
      <c r="BI342" s="33" t="str">
        <f aca="false">IF(OR($O342="",$X342=""),"",$O342-$X342)</f>
        <v/>
      </c>
      <c r="BJ342" s="33" t="str">
        <f aca="false">IF(OR($P342="",$Y342=""),"",$P342-$Y342)</f>
        <v/>
      </c>
      <c r="BK342" s="34" t="str">
        <f aca="false">IF(OR($AN342="",$AO342="",$AN342=0),"",$AO342/$AN342)</f>
        <v/>
      </c>
      <c r="BL342" s="34" t="str">
        <f aca="false">IF(OR($AU342="",$AV342="",$AU342=0),"",$AV342/$AU342)</f>
        <v/>
      </c>
      <c r="BM342" s="7" t="str">
        <f aca="false">IF($Z342="","",IF(AND($Z342="Y",$AB342&lt;&gt;"N",$AC342&lt;&gt;"Y"),"Y","N"))</f>
        <v/>
      </c>
      <c r="BN342" s="7" t="str">
        <f aca="false">IF($AH342="","",IF($Z342&lt;&gt;"Y","undefined",IF($AH342&lt;=1,"Y","N")))</f>
        <v/>
      </c>
      <c r="BO342" s="7" t="str">
        <f aca="false">IF($AH342="","",IF($Z342&lt;&gt;"Y","undefined",IF($AH342&lt;=10,"Y","N")))</f>
        <v/>
      </c>
      <c r="BP342" s="7" t="str">
        <f aca="false">IF($AH342="","",IF($Z342&lt;&gt;"Y","undefined",IF($AH342&lt;=100,"Y","N")))</f>
        <v/>
      </c>
    </row>
    <row r="343" customFormat="false" ht="15" hidden="false" customHeight="false" outlineLevel="0" collapsed="false">
      <c r="A343" s="7" t="str">
        <f aca="false">IF($B343="","",$B343&amp;"|"&amp;$C343&amp;"|"&amp;$F343)</f>
        <v/>
      </c>
      <c r="B343" s="5"/>
      <c r="C343" s="5"/>
      <c r="D343" s="5"/>
      <c r="E343" s="5"/>
      <c r="F343" s="5"/>
      <c r="G343" s="5"/>
      <c r="H343" s="5"/>
      <c r="I343" s="5"/>
      <c r="J343" s="20"/>
      <c r="K343" s="20"/>
      <c r="L343" s="28"/>
      <c r="M343" s="20"/>
      <c r="N343" s="28"/>
      <c r="O343" s="19"/>
      <c r="P343" s="19"/>
      <c r="Q343" s="5"/>
      <c r="R343" s="19"/>
      <c r="S343" s="5"/>
      <c r="T343" s="20"/>
      <c r="U343" s="20"/>
      <c r="V343" s="29"/>
      <c r="W343" s="28"/>
      <c r="X343" s="19"/>
      <c r="Y343" s="19"/>
      <c r="Z343" s="5"/>
      <c r="AA343" s="19"/>
      <c r="AB343" s="5"/>
      <c r="AC343" s="5"/>
      <c r="AD343" s="5"/>
      <c r="AE343" s="5"/>
      <c r="AF343" s="30"/>
      <c r="AG343" s="30"/>
      <c r="AH343" s="30"/>
      <c r="AI343" s="30"/>
      <c r="AJ343" s="30"/>
      <c r="AK343" s="30"/>
      <c r="AL343" s="28"/>
      <c r="AM343" s="5"/>
      <c r="AN343" s="19"/>
      <c r="AO343" s="19"/>
      <c r="AP343" s="5"/>
      <c r="AQ343" s="5"/>
      <c r="AR343" s="5"/>
      <c r="AS343" s="5"/>
      <c r="AT343" s="5"/>
      <c r="AU343" s="19"/>
      <c r="AV343" s="19"/>
      <c r="AW343" s="5"/>
      <c r="AX343" s="5"/>
      <c r="AY343" s="19"/>
      <c r="AZ343" s="30"/>
      <c r="BA343" s="5"/>
      <c r="BB343" s="31" t="str">
        <f aca="false">IF(OR($T343="",$M343=""),"",$T343-$M343)</f>
        <v/>
      </c>
      <c r="BC343" s="32" t="str">
        <f aca="false">IF(OR($T343="",$M343="",$M343=0),"",($T343-$M343)/$M343)</f>
        <v/>
      </c>
      <c r="BD343" s="31" t="str">
        <f aca="false">IF(OR($U343="",$M343=""),"",$U343-$M343)</f>
        <v/>
      </c>
      <c r="BE343" s="32" t="str">
        <f aca="false">IF(OR($U343="",$M343="",$M343=0),"",($U343-$M343)/$M343)</f>
        <v/>
      </c>
      <c r="BF343" s="32" t="str">
        <f aca="false">IF(OR($U343="",$J343="",$J343=0),"",($U343-$J343)/$J343)</f>
        <v/>
      </c>
      <c r="BG343" s="32" t="str">
        <f aca="false">IF(OR($M343="",$K343="",$K343=0),"",($M343-$K343)/$K343)</f>
        <v/>
      </c>
      <c r="BH343" s="32" t="str">
        <f aca="false">IF(OR($W343="",$N343="",$N343=0),"",($W343-$N343)/$N343)</f>
        <v/>
      </c>
      <c r="BI343" s="33" t="str">
        <f aca="false">IF(OR($O343="",$X343=""),"",$O343-$X343)</f>
        <v/>
      </c>
      <c r="BJ343" s="33" t="str">
        <f aca="false">IF(OR($P343="",$Y343=""),"",$P343-$Y343)</f>
        <v/>
      </c>
      <c r="BK343" s="34" t="str">
        <f aca="false">IF(OR($AN343="",$AO343="",$AN343=0),"",$AO343/$AN343)</f>
        <v/>
      </c>
      <c r="BL343" s="34" t="str">
        <f aca="false">IF(OR($AU343="",$AV343="",$AU343=0),"",$AV343/$AU343)</f>
        <v/>
      </c>
      <c r="BM343" s="7" t="str">
        <f aca="false">IF($Z343="","",IF(AND($Z343="Y",$AB343&lt;&gt;"N",$AC343&lt;&gt;"Y"),"Y","N"))</f>
        <v/>
      </c>
      <c r="BN343" s="7" t="str">
        <f aca="false">IF($AH343="","",IF($Z343&lt;&gt;"Y","undefined",IF($AH343&lt;=1,"Y","N")))</f>
        <v/>
      </c>
      <c r="BO343" s="7" t="str">
        <f aca="false">IF($AH343="","",IF($Z343&lt;&gt;"Y","undefined",IF($AH343&lt;=10,"Y","N")))</f>
        <v/>
      </c>
      <c r="BP343" s="7" t="str">
        <f aca="false">IF($AH343="","",IF($Z343&lt;&gt;"Y","undefined",IF($AH343&lt;=100,"Y","N")))</f>
        <v/>
      </c>
    </row>
    <row r="344" customFormat="false" ht="15" hidden="false" customHeight="false" outlineLevel="0" collapsed="false">
      <c r="A344" s="7" t="str">
        <f aca="false">IF($B344="","",$B344&amp;"|"&amp;$C344&amp;"|"&amp;$F344)</f>
        <v/>
      </c>
      <c r="B344" s="5"/>
      <c r="C344" s="5"/>
      <c r="D344" s="5"/>
      <c r="E344" s="5"/>
      <c r="F344" s="5"/>
      <c r="G344" s="5"/>
      <c r="H344" s="5"/>
      <c r="I344" s="5"/>
      <c r="J344" s="20"/>
      <c r="K344" s="20"/>
      <c r="L344" s="28"/>
      <c r="M344" s="20"/>
      <c r="N344" s="28"/>
      <c r="O344" s="19"/>
      <c r="P344" s="19"/>
      <c r="Q344" s="5"/>
      <c r="R344" s="19"/>
      <c r="S344" s="5"/>
      <c r="T344" s="20"/>
      <c r="U344" s="20"/>
      <c r="V344" s="29"/>
      <c r="W344" s="28"/>
      <c r="X344" s="19"/>
      <c r="Y344" s="19"/>
      <c r="Z344" s="5"/>
      <c r="AA344" s="19"/>
      <c r="AB344" s="5"/>
      <c r="AC344" s="5"/>
      <c r="AD344" s="5"/>
      <c r="AE344" s="5"/>
      <c r="AF344" s="30"/>
      <c r="AG344" s="30"/>
      <c r="AH344" s="30"/>
      <c r="AI344" s="30"/>
      <c r="AJ344" s="30"/>
      <c r="AK344" s="30"/>
      <c r="AL344" s="28"/>
      <c r="AM344" s="5"/>
      <c r="AN344" s="19"/>
      <c r="AO344" s="19"/>
      <c r="AP344" s="5"/>
      <c r="AQ344" s="5"/>
      <c r="AR344" s="5"/>
      <c r="AS344" s="5"/>
      <c r="AT344" s="5"/>
      <c r="AU344" s="19"/>
      <c r="AV344" s="19"/>
      <c r="AW344" s="5"/>
      <c r="AX344" s="5"/>
      <c r="AY344" s="19"/>
      <c r="AZ344" s="30"/>
      <c r="BA344" s="5"/>
      <c r="BB344" s="31" t="str">
        <f aca="false">IF(OR($T344="",$M344=""),"",$T344-$M344)</f>
        <v/>
      </c>
      <c r="BC344" s="32" t="str">
        <f aca="false">IF(OR($T344="",$M344="",$M344=0),"",($T344-$M344)/$M344)</f>
        <v/>
      </c>
      <c r="BD344" s="31" t="str">
        <f aca="false">IF(OR($U344="",$M344=""),"",$U344-$M344)</f>
        <v/>
      </c>
      <c r="BE344" s="32" t="str">
        <f aca="false">IF(OR($U344="",$M344="",$M344=0),"",($U344-$M344)/$M344)</f>
        <v/>
      </c>
      <c r="BF344" s="32" t="str">
        <f aca="false">IF(OR($U344="",$J344="",$J344=0),"",($U344-$J344)/$J344)</f>
        <v/>
      </c>
      <c r="BG344" s="32" t="str">
        <f aca="false">IF(OR($M344="",$K344="",$K344=0),"",($M344-$K344)/$K344)</f>
        <v/>
      </c>
      <c r="BH344" s="32" t="str">
        <f aca="false">IF(OR($W344="",$N344="",$N344=0),"",($W344-$N344)/$N344)</f>
        <v/>
      </c>
      <c r="BI344" s="33" t="str">
        <f aca="false">IF(OR($O344="",$X344=""),"",$O344-$X344)</f>
        <v/>
      </c>
      <c r="BJ344" s="33" t="str">
        <f aca="false">IF(OR($P344="",$Y344=""),"",$P344-$Y344)</f>
        <v/>
      </c>
      <c r="BK344" s="34" t="str">
        <f aca="false">IF(OR($AN344="",$AO344="",$AN344=0),"",$AO344/$AN344)</f>
        <v/>
      </c>
      <c r="BL344" s="34" t="str">
        <f aca="false">IF(OR($AU344="",$AV344="",$AU344=0),"",$AV344/$AU344)</f>
        <v/>
      </c>
      <c r="BM344" s="7" t="str">
        <f aca="false">IF($Z344="","",IF(AND($Z344="Y",$AB344&lt;&gt;"N",$AC344&lt;&gt;"Y"),"Y","N"))</f>
        <v/>
      </c>
      <c r="BN344" s="7" t="str">
        <f aca="false">IF($AH344="","",IF($Z344&lt;&gt;"Y","undefined",IF($AH344&lt;=1,"Y","N")))</f>
        <v/>
      </c>
      <c r="BO344" s="7" t="str">
        <f aca="false">IF($AH344="","",IF($Z344&lt;&gt;"Y","undefined",IF($AH344&lt;=10,"Y","N")))</f>
        <v/>
      </c>
      <c r="BP344" s="7" t="str">
        <f aca="false">IF($AH344="","",IF($Z344&lt;&gt;"Y","undefined",IF($AH344&lt;=100,"Y","N")))</f>
        <v/>
      </c>
    </row>
    <row r="345" customFormat="false" ht="15" hidden="false" customHeight="false" outlineLevel="0" collapsed="false">
      <c r="A345" s="7" t="str">
        <f aca="false">IF($B345="","",$B345&amp;"|"&amp;$C345&amp;"|"&amp;$F345)</f>
        <v/>
      </c>
      <c r="B345" s="5"/>
      <c r="C345" s="5"/>
      <c r="D345" s="5"/>
      <c r="E345" s="5"/>
      <c r="F345" s="5"/>
      <c r="G345" s="5"/>
      <c r="H345" s="5"/>
      <c r="I345" s="5"/>
      <c r="J345" s="20"/>
      <c r="K345" s="20"/>
      <c r="L345" s="28"/>
      <c r="M345" s="20"/>
      <c r="N345" s="28"/>
      <c r="O345" s="19"/>
      <c r="P345" s="19"/>
      <c r="Q345" s="5"/>
      <c r="R345" s="19"/>
      <c r="S345" s="5"/>
      <c r="T345" s="20"/>
      <c r="U345" s="20"/>
      <c r="V345" s="29"/>
      <c r="W345" s="28"/>
      <c r="X345" s="19"/>
      <c r="Y345" s="19"/>
      <c r="Z345" s="5"/>
      <c r="AA345" s="19"/>
      <c r="AB345" s="5"/>
      <c r="AC345" s="5"/>
      <c r="AD345" s="5"/>
      <c r="AE345" s="5"/>
      <c r="AF345" s="30"/>
      <c r="AG345" s="30"/>
      <c r="AH345" s="30"/>
      <c r="AI345" s="30"/>
      <c r="AJ345" s="30"/>
      <c r="AK345" s="30"/>
      <c r="AL345" s="28"/>
      <c r="AM345" s="5"/>
      <c r="AN345" s="19"/>
      <c r="AO345" s="19"/>
      <c r="AP345" s="5"/>
      <c r="AQ345" s="5"/>
      <c r="AR345" s="5"/>
      <c r="AS345" s="5"/>
      <c r="AT345" s="5"/>
      <c r="AU345" s="19"/>
      <c r="AV345" s="19"/>
      <c r="AW345" s="5"/>
      <c r="AX345" s="5"/>
      <c r="AY345" s="19"/>
      <c r="AZ345" s="30"/>
      <c r="BA345" s="5"/>
      <c r="BB345" s="31" t="str">
        <f aca="false">IF(OR($T345="",$M345=""),"",$T345-$M345)</f>
        <v/>
      </c>
      <c r="BC345" s="32" t="str">
        <f aca="false">IF(OR($T345="",$M345="",$M345=0),"",($T345-$M345)/$M345)</f>
        <v/>
      </c>
      <c r="BD345" s="31" t="str">
        <f aca="false">IF(OR($U345="",$M345=""),"",$U345-$M345)</f>
        <v/>
      </c>
      <c r="BE345" s="32" t="str">
        <f aca="false">IF(OR($U345="",$M345="",$M345=0),"",($U345-$M345)/$M345)</f>
        <v/>
      </c>
      <c r="BF345" s="32" t="str">
        <f aca="false">IF(OR($U345="",$J345="",$J345=0),"",($U345-$J345)/$J345)</f>
        <v/>
      </c>
      <c r="BG345" s="32" t="str">
        <f aca="false">IF(OR($M345="",$K345="",$K345=0),"",($M345-$K345)/$K345)</f>
        <v/>
      </c>
      <c r="BH345" s="32" t="str">
        <f aca="false">IF(OR($W345="",$N345="",$N345=0),"",($W345-$N345)/$N345)</f>
        <v/>
      </c>
      <c r="BI345" s="33" t="str">
        <f aca="false">IF(OR($O345="",$X345=""),"",$O345-$X345)</f>
        <v/>
      </c>
      <c r="BJ345" s="33" t="str">
        <f aca="false">IF(OR($P345="",$Y345=""),"",$P345-$Y345)</f>
        <v/>
      </c>
      <c r="BK345" s="34" t="str">
        <f aca="false">IF(OR($AN345="",$AO345="",$AN345=0),"",$AO345/$AN345)</f>
        <v/>
      </c>
      <c r="BL345" s="34" t="str">
        <f aca="false">IF(OR($AU345="",$AV345="",$AU345=0),"",$AV345/$AU345)</f>
        <v/>
      </c>
      <c r="BM345" s="7" t="str">
        <f aca="false">IF($Z345="","",IF(AND($Z345="Y",$AB345&lt;&gt;"N",$AC345&lt;&gt;"Y"),"Y","N"))</f>
        <v/>
      </c>
      <c r="BN345" s="7" t="str">
        <f aca="false">IF($AH345="","",IF($Z345&lt;&gt;"Y","undefined",IF($AH345&lt;=1,"Y","N")))</f>
        <v/>
      </c>
      <c r="BO345" s="7" t="str">
        <f aca="false">IF($AH345="","",IF($Z345&lt;&gt;"Y","undefined",IF($AH345&lt;=10,"Y","N")))</f>
        <v/>
      </c>
      <c r="BP345" s="7" t="str">
        <f aca="false">IF($AH345="","",IF($Z345&lt;&gt;"Y","undefined",IF($AH345&lt;=100,"Y","N")))</f>
        <v/>
      </c>
    </row>
    <row r="346" customFormat="false" ht="15" hidden="false" customHeight="false" outlineLevel="0" collapsed="false">
      <c r="A346" s="7" t="str">
        <f aca="false">IF($B346="","",$B346&amp;"|"&amp;$C346&amp;"|"&amp;$F346)</f>
        <v/>
      </c>
      <c r="B346" s="5"/>
      <c r="C346" s="5"/>
      <c r="D346" s="5"/>
      <c r="E346" s="5"/>
      <c r="F346" s="5"/>
      <c r="G346" s="5"/>
      <c r="H346" s="5"/>
      <c r="I346" s="5"/>
      <c r="J346" s="20"/>
      <c r="K346" s="20"/>
      <c r="L346" s="28"/>
      <c r="M346" s="20"/>
      <c r="N346" s="28"/>
      <c r="O346" s="19"/>
      <c r="P346" s="19"/>
      <c r="Q346" s="5"/>
      <c r="R346" s="19"/>
      <c r="S346" s="5"/>
      <c r="T346" s="20"/>
      <c r="U346" s="20"/>
      <c r="V346" s="29"/>
      <c r="W346" s="28"/>
      <c r="X346" s="19"/>
      <c r="Y346" s="19"/>
      <c r="Z346" s="5"/>
      <c r="AA346" s="19"/>
      <c r="AB346" s="5"/>
      <c r="AC346" s="5"/>
      <c r="AD346" s="5"/>
      <c r="AE346" s="5"/>
      <c r="AF346" s="30"/>
      <c r="AG346" s="30"/>
      <c r="AH346" s="30"/>
      <c r="AI346" s="30"/>
      <c r="AJ346" s="30"/>
      <c r="AK346" s="30"/>
      <c r="AL346" s="28"/>
      <c r="AM346" s="5"/>
      <c r="AN346" s="19"/>
      <c r="AO346" s="19"/>
      <c r="AP346" s="5"/>
      <c r="AQ346" s="5"/>
      <c r="AR346" s="5"/>
      <c r="AS346" s="5"/>
      <c r="AT346" s="5"/>
      <c r="AU346" s="19"/>
      <c r="AV346" s="19"/>
      <c r="AW346" s="5"/>
      <c r="AX346" s="5"/>
      <c r="AY346" s="19"/>
      <c r="AZ346" s="30"/>
      <c r="BA346" s="5"/>
      <c r="BB346" s="31" t="str">
        <f aca="false">IF(OR($T346="",$M346=""),"",$T346-$M346)</f>
        <v/>
      </c>
      <c r="BC346" s="32" t="str">
        <f aca="false">IF(OR($T346="",$M346="",$M346=0),"",($T346-$M346)/$M346)</f>
        <v/>
      </c>
      <c r="BD346" s="31" t="str">
        <f aca="false">IF(OR($U346="",$M346=""),"",$U346-$M346)</f>
        <v/>
      </c>
      <c r="BE346" s="32" t="str">
        <f aca="false">IF(OR($U346="",$M346="",$M346=0),"",($U346-$M346)/$M346)</f>
        <v/>
      </c>
      <c r="BF346" s="32" t="str">
        <f aca="false">IF(OR($U346="",$J346="",$J346=0),"",($U346-$J346)/$J346)</f>
        <v/>
      </c>
      <c r="BG346" s="32" t="str">
        <f aca="false">IF(OR($M346="",$K346="",$K346=0),"",($M346-$K346)/$K346)</f>
        <v/>
      </c>
      <c r="BH346" s="32" t="str">
        <f aca="false">IF(OR($W346="",$N346="",$N346=0),"",($W346-$N346)/$N346)</f>
        <v/>
      </c>
      <c r="BI346" s="33" t="str">
        <f aca="false">IF(OR($O346="",$X346=""),"",$O346-$X346)</f>
        <v/>
      </c>
      <c r="BJ346" s="33" t="str">
        <f aca="false">IF(OR($P346="",$Y346=""),"",$P346-$Y346)</f>
        <v/>
      </c>
      <c r="BK346" s="34" t="str">
        <f aca="false">IF(OR($AN346="",$AO346="",$AN346=0),"",$AO346/$AN346)</f>
        <v/>
      </c>
      <c r="BL346" s="34" t="str">
        <f aca="false">IF(OR($AU346="",$AV346="",$AU346=0),"",$AV346/$AU346)</f>
        <v/>
      </c>
      <c r="BM346" s="7" t="str">
        <f aca="false">IF($Z346="","",IF(AND($Z346="Y",$AB346&lt;&gt;"N",$AC346&lt;&gt;"Y"),"Y","N"))</f>
        <v/>
      </c>
      <c r="BN346" s="7" t="str">
        <f aca="false">IF($AH346="","",IF($Z346&lt;&gt;"Y","undefined",IF($AH346&lt;=1,"Y","N")))</f>
        <v/>
      </c>
      <c r="BO346" s="7" t="str">
        <f aca="false">IF($AH346="","",IF($Z346&lt;&gt;"Y","undefined",IF($AH346&lt;=10,"Y","N")))</f>
        <v/>
      </c>
      <c r="BP346" s="7" t="str">
        <f aca="false">IF($AH346="","",IF($Z346&lt;&gt;"Y","undefined",IF($AH346&lt;=100,"Y","N")))</f>
        <v/>
      </c>
    </row>
    <row r="347" customFormat="false" ht="15" hidden="false" customHeight="false" outlineLevel="0" collapsed="false">
      <c r="A347" s="7" t="str">
        <f aca="false">IF($B347="","",$B347&amp;"|"&amp;$C347&amp;"|"&amp;$F347)</f>
        <v/>
      </c>
      <c r="B347" s="5"/>
      <c r="C347" s="5"/>
      <c r="D347" s="5"/>
      <c r="E347" s="5"/>
      <c r="F347" s="5"/>
      <c r="G347" s="5"/>
      <c r="H347" s="5"/>
      <c r="I347" s="5"/>
      <c r="J347" s="20"/>
      <c r="K347" s="20"/>
      <c r="L347" s="28"/>
      <c r="M347" s="20"/>
      <c r="N347" s="28"/>
      <c r="O347" s="19"/>
      <c r="P347" s="19"/>
      <c r="Q347" s="5"/>
      <c r="R347" s="19"/>
      <c r="S347" s="5"/>
      <c r="T347" s="20"/>
      <c r="U347" s="20"/>
      <c r="V347" s="29"/>
      <c r="W347" s="28"/>
      <c r="X347" s="19"/>
      <c r="Y347" s="19"/>
      <c r="Z347" s="5"/>
      <c r="AA347" s="19"/>
      <c r="AB347" s="5"/>
      <c r="AC347" s="5"/>
      <c r="AD347" s="5"/>
      <c r="AE347" s="5"/>
      <c r="AF347" s="30"/>
      <c r="AG347" s="30"/>
      <c r="AH347" s="30"/>
      <c r="AI347" s="30"/>
      <c r="AJ347" s="30"/>
      <c r="AK347" s="30"/>
      <c r="AL347" s="28"/>
      <c r="AM347" s="5"/>
      <c r="AN347" s="19"/>
      <c r="AO347" s="19"/>
      <c r="AP347" s="5"/>
      <c r="AQ347" s="5"/>
      <c r="AR347" s="5"/>
      <c r="AS347" s="5"/>
      <c r="AT347" s="5"/>
      <c r="AU347" s="19"/>
      <c r="AV347" s="19"/>
      <c r="AW347" s="5"/>
      <c r="AX347" s="5"/>
      <c r="AY347" s="19"/>
      <c r="AZ347" s="30"/>
      <c r="BA347" s="5"/>
      <c r="BB347" s="31" t="str">
        <f aca="false">IF(OR($T347="",$M347=""),"",$T347-$M347)</f>
        <v/>
      </c>
      <c r="BC347" s="32" t="str">
        <f aca="false">IF(OR($T347="",$M347="",$M347=0),"",($T347-$M347)/$M347)</f>
        <v/>
      </c>
      <c r="BD347" s="31" t="str">
        <f aca="false">IF(OR($U347="",$M347=""),"",$U347-$M347)</f>
        <v/>
      </c>
      <c r="BE347" s="32" t="str">
        <f aca="false">IF(OR($U347="",$M347="",$M347=0),"",($U347-$M347)/$M347)</f>
        <v/>
      </c>
      <c r="BF347" s="32" t="str">
        <f aca="false">IF(OR($U347="",$J347="",$J347=0),"",($U347-$J347)/$J347)</f>
        <v/>
      </c>
      <c r="BG347" s="32" t="str">
        <f aca="false">IF(OR($M347="",$K347="",$K347=0),"",($M347-$K347)/$K347)</f>
        <v/>
      </c>
      <c r="BH347" s="32" t="str">
        <f aca="false">IF(OR($W347="",$N347="",$N347=0),"",($W347-$N347)/$N347)</f>
        <v/>
      </c>
      <c r="BI347" s="33" t="str">
        <f aca="false">IF(OR($O347="",$X347=""),"",$O347-$X347)</f>
        <v/>
      </c>
      <c r="BJ347" s="33" t="str">
        <f aca="false">IF(OR($P347="",$Y347=""),"",$P347-$Y347)</f>
        <v/>
      </c>
      <c r="BK347" s="34" t="str">
        <f aca="false">IF(OR($AN347="",$AO347="",$AN347=0),"",$AO347/$AN347)</f>
        <v/>
      </c>
      <c r="BL347" s="34" t="str">
        <f aca="false">IF(OR($AU347="",$AV347="",$AU347=0),"",$AV347/$AU347)</f>
        <v/>
      </c>
      <c r="BM347" s="7" t="str">
        <f aca="false">IF($Z347="","",IF(AND($Z347="Y",$AB347&lt;&gt;"N",$AC347&lt;&gt;"Y"),"Y","N"))</f>
        <v/>
      </c>
      <c r="BN347" s="7" t="str">
        <f aca="false">IF($AH347="","",IF($Z347&lt;&gt;"Y","undefined",IF($AH347&lt;=1,"Y","N")))</f>
        <v/>
      </c>
      <c r="BO347" s="7" t="str">
        <f aca="false">IF($AH347="","",IF($Z347&lt;&gt;"Y","undefined",IF($AH347&lt;=10,"Y","N")))</f>
        <v/>
      </c>
      <c r="BP347" s="7" t="str">
        <f aca="false">IF($AH347="","",IF($Z347&lt;&gt;"Y","undefined",IF($AH347&lt;=100,"Y","N")))</f>
        <v/>
      </c>
    </row>
    <row r="348" customFormat="false" ht="15" hidden="false" customHeight="false" outlineLevel="0" collapsed="false">
      <c r="A348" s="7" t="str">
        <f aca="false">IF($B348="","",$B348&amp;"|"&amp;$C348&amp;"|"&amp;$F348)</f>
        <v/>
      </c>
      <c r="B348" s="5"/>
      <c r="C348" s="5"/>
      <c r="D348" s="5"/>
      <c r="E348" s="5"/>
      <c r="F348" s="5"/>
      <c r="G348" s="5"/>
      <c r="H348" s="5"/>
      <c r="I348" s="5"/>
      <c r="J348" s="20"/>
      <c r="K348" s="20"/>
      <c r="L348" s="28"/>
      <c r="M348" s="20"/>
      <c r="N348" s="28"/>
      <c r="O348" s="19"/>
      <c r="P348" s="19"/>
      <c r="Q348" s="5"/>
      <c r="R348" s="19"/>
      <c r="S348" s="5"/>
      <c r="T348" s="20"/>
      <c r="U348" s="20"/>
      <c r="V348" s="29"/>
      <c r="W348" s="28"/>
      <c r="X348" s="19"/>
      <c r="Y348" s="19"/>
      <c r="Z348" s="5"/>
      <c r="AA348" s="19"/>
      <c r="AB348" s="5"/>
      <c r="AC348" s="5"/>
      <c r="AD348" s="5"/>
      <c r="AE348" s="5"/>
      <c r="AF348" s="30"/>
      <c r="AG348" s="30"/>
      <c r="AH348" s="30"/>
      <c r="AI348" s="30"/>
      <c r="AJ348" s="30"/>
      <c r="AK348" s="30"/>
      <c r="AL348" s="28"/>
      <c r="AM348" s="5"/>
      <c r="AN348" s="19"/>
      <c r="AO348" s="19"/>
      <c r="AP348" s="5"/>
      <c r="AQ348" s="5"/>
      <c r="AR348" s="5"/>
      <c r="AS348" s="5"/>
      <c r="AT348" s="5"/>
      <c r="AU348" s="19"/>
      <c r="AV348" s="19"/>
      <c r="AW348" s="5"/>
      <c r="AX348" s="5"/>
      <c r="AY348" s="19"/>
      <c r="AZ348" s="30"/>
      <c r="BA348" s="5"/>
      <c r="BB348" s="31" t="str">
        <f aca="false">IF(OR($T348="",$M348=""),"",$T348-$M348)</f>
        <v/>
      </c>
      <c r="BC348" s="32" t="str">
        <f aca="false">IF(OR($T348="",$M348="",$M348=0),"",($T348-$M348)/$M348)</f>
        <v/>
      </c>
      <c r="BD348" s="31" t="str">
        <f aca="false">IF(OR($U348="",$M348=""),"",$U348-$M348)</f>
        <v/>
      </c>
      <c r="BE348" s="32" t="str">
        <f aca="false">IF(OR($U348="",$M348="",$M348=0),"",($U348-$M348)/$M348)</f>
        <v/>
      </c>
      <c r="BF348" s="32" t="str">
        <f aca="false">IF(OR($U348="",$J348="",$J348=0),"",($U348-$J348)/$J348)</f>
        <v/>
      </c>
      <c r="BG348" s="32" t="str">
        <f aca="false">IF(OR($M348="",$K348="",$K348=0),"",($M348-$K348)/$K348)</f>
        <v/>
      </c>
      <c r="BH348" s="32" t="str">
        <f aca="false">IF(OR($W348="",$N348="",$N348=0),"",($W348-$N348)/$N348)</f>
        <v/>
      </c>
      <c r="BI348" s="33" t="str">
        <f aca="false">IF(OR($O348="",$X348=""),"",$O348-$X348)</f>
        <v/>
      </c>
      <c r="BJ348" s="33" t="str">
        <f aca="false">IF(OR($P348="",$Y348=""),"",$P348-$Y348)</f>
        <v/>
      </c>
      <c r="BK348" s="34" t="str">
        <f aca="false">IF(OR($AN348="",$AO348="",$AN348=0),"",$AO348/$AN348)</f>
        <v/>
      </c>
      <c r="BL348" s="34" t="str">
        <f aca="false">IF(OR($AU348="",$AV348="",$AU348=0),"",$AV348/$AU348)</f>
        <v/>
      </c>
      <c r="BM348" s="7" t="str">
        <f aca="false">IF($Z348="","",IF(AND($Z348="Y",$AB348&lt;&gt;"N",$AC348&lt;&gt;"Y"),"Y","N"))</f>
        <v/>
      </c>
      <c r="BN348" s="7" t="str">
        <f aca="false">IF($AH348="","",IF($Z348&lt;&gt;"Y","undefined",IF($AH348&lt;=1,"Y","N")))</f>
        <v/>
      </c>
      <c r="BO348" s="7" t="str">
        <f aca="false">IF($AH348="","",IF($Z348&lt;&gt;"Y","undefined",IF($AH348&lt;=10,"Y","N")))</f>
        <v/>
      </c>
      <c r="BP348" s="7" t="str">
        <f aca="false">IF($AH348="","",IF($Z348&lt;&gt;"Y","undefined",IF($AH348&lt;=100,"Y","N")))</f>
        <v/>
      </c>
    </row>
    <row r="349" customFormat="false" ht="15" hidden="false" customHeight="false" outlineLevel="0" collapsed="false">
      <c r="A349" s="7" t="str">
        <f aca="false">IF($B349="","",$B349&amp;"|"&amp;$C349&amp;"|"&amp;$F349)</f>
        <v/>
      </c>
      <c r="B349" s="5"/>
      <c r="C349" s="5"/>
      <c r="D349" s="5"/>
      <c r="E349" s="5"/>
      <c r="F349" s="5"/>
      <c r="G349" s="5"/>
      <c r="H349" s="5"/>
      <c r="I349" s="5"/>
      <c r="J349" s="20"/>
      <c r="K349" s="20"/>
      <c r="L349" s="28"/>
      <c r="M349" s="20"/>
      <c r="N349" s="28"/>
      <c r="O349" s="19"/>
      <c r="P349" s="19"/>
      <c r="Q349" s="5"/>
      <c r="R349" s="19"/>
      <c r="S349" s="5"/>
      <c r="T349" s="20"/>
      <c r="U349" s="20"/>
      <c r="V349" s="29"/>
      <c r="W349" s="28"/>
      <c r="X349" s="19"/>
      <c r="Y349" s="19"/>
      <c r="Z349" s="5"/>
      <c r="AA349" s="19"/>
      <c r="AB349" s="5"/>
      <c r="AC349" s="5"/>
      <c r="AD349" s="5"/>
      <c r="AE349" s="5"/>
      <c r="AF349" s="30"/>
      <c r="AG349" s="30"/>
      <c r="AH349" s="30"/>
      <c r="AI349" s="30"/>
      <c r="AJ349" s="30"/>
      <c r="AK349" s="30"/>
      <c r="AL349" s="28"/>
      <c r="AM349" s="5"/>
      <c r="AN349" s="19"/>
      <c r="AO349" s="19"/>
      <c r="AP349" s="5"/>
      <c r="AQ349" s="5"/>
      <c r="AR349" s="5"/>
      <c r="AS349" s="5"/>
      <c r="AT349" s="5"/>
      <c r="AU349" s="19"/>
      <c r="AV349" s="19"/>
      <c r="AW349" s="5"/>
      <c r="AX349" s="5"/>
      <c r="AY349" s="19"/>
      <c r="AZ349" s="30"/>
      <c r="BA349" s="5"/>
      <c r="BB349" s="31" t="str">
        <f aca="false">IF(OR($T349="",$M349=""),"",$T349-$M349)</f>
        <v/>
      </c>
      <c r="BC349" s="32" t="str">
        <f aca="false">IF(OR($T349="",$M349="",$M349=0),"",($T349-$M349)/$M349)</f>
        <v/>
      </c>
      <c r="BD349" s="31" t="str">
        <f aca="false">IF(OR($U349="",$M349=""),"",$U349-$M349)</f>
        <v/>
      </c>
      <c r="BE349" s="32" t="str">
        <f aca="false">IF(OR($U349="",$M349="",$M349=0),"",($U349-$M349)/$M349)</f>
        <v/>
      </c>
      <c r="BF349" s="32" t="str">
        <f aca="false">IF(OR($U349="",$J349="",$J349=0),"",($U349-$J349)/$J349)</f>
        <v/>
      </c>
      <c r="BG349" s="32" t="str">
        <f aca="false">IF(OR($M349="",$K349="",$K349=0),"",($M349-$K349)/$K349)</f>
        <v/>
      </c>
      <c r="BH349" s="32" t="str">
        <f aca="false">IF(OR($W349="",$N349="",$N349=0),"",($W349-$N349)/$N349)</f>
        <v/>
      </c>
      <c r="BI349" s="33" t="str">
        <f aca="false">IF(OR($O349="",$X349=""),"",$O349-$X349)</f>
        <v/>
      </c>
      <c r="BJ349" s="33" t="str">
        <f aca="false">IF(OR($P349="",$Y349=""),"",$P349-$Y349)</f>
        <v/>
      </c>
      <c r="BK349" s="34" t="str">
        <f aca="false">IF(OR($AN349="",$AO349="",$AN349=0),"",$AO349/$AN349)</f>
        <v/>
      </c>
      <c r="BL349" s="34" t="str">
        <f aca="false">IF(OR($AU349="",$AV349="",$AU349=0),"",$AV349/$AU349)</f>
        <v/>
      </c>
      <c r="BM349" s="7" t="str">
        <f aca="false">IF($Z349="","",IF(AND($Z349="Y",$AB349&lt;&gt;"N",$AC349&lt;&gt;"Y"),"Y","N"))</f>
        <v/>
      </c>
      <c r="BN349" s="7" t="str">
        <f aca="false">IF($AH349="","",IF($Z349&lt;&gt;"Y","undefined",IF($AH349&lt;=1,"Y","N")))</f>
        <v/>
      </c>
      <c r="BO349" s="7" t="str">
        <f aca="false">IF($AH349="","",IF($Z349&lt;&gt;"Y","undefined",IF($AH349&lt;=10,"Y","N")))</f>
        <v/>
      </c>
      <c r="BP349" s="7" t="str">
        <f aca="false">IF($AH349="","",IF($Z349&lt;&gt;"Y","undefined",IF($AH349&lt;=100,"Y","N")))</f>
        <v/>
      </c>
    </row>
    <row r="350" customFormat="false" ht="15" hidden="false" customHeight="false" outlineLevel="0" collapsed="false">
      <c r="A350" s="7" t="str">
        <f aca="false">IF($B350="","",$B350&amp;"|"&amp;$C350&amp;"|"&amp;$F350)</f>
        <v/>
      </c>
      <c r="B350" s="5"/>
      <c r="C350" s="5"/>
      <c r="D350" s="5"/>
      <c r="E350" s="5"/>
      <c r="F350" s="5"/>
      <c r="G350" s="5"/>
      <c r="H350" s="5"/>
      <c r="I350" s="5"/>
      <c r="J350" s="20"/>
      <c r="K350" s="20"/>
      <c r="L350" s="28"/>
      <c r="M350" s="20"/>
      <c r="N350" s="28"/>
      <c r="O350" s="19"/>
      <c r="P350" s="19"/>
      <c r="Q350" s="5"/>
      <c r="R350" s="19"/>
      <c r="S350" s="5"/>
      <c r="T350" s="20"/>
      <c r="U350" s="20"/>
      <c r="V350" s="29"/>
      <c r="W350" s="28"/>
      <c r="X350" s="19"/>
      <c r="Y350" s="19"/>
      <c r="Z350" s="5"/>
      <c r="AA350" s="19"/>
      <c r="AB350" s="5"/>
      <c r="AC350" s="5"/>
      <c r="AD350" s="5"/>
      <c r="AE350" s="5"/>
      <c r="AF350" s="30"/>
      <c r="AG350" s="30"/>
      <c r="AH350" s="30"/>
      <c r="AI350" s="30"/>
      <c r="AJ350" s="30"/>
      <c r="AK350" s="30"/>
      <c r="AL350" s="28"/>
      <c r="AM350" s="5"/>
      <c r="AN350" s="19"/>
      <c r="AO350" s="19"/>
      <c r="AP350" s="5"/>
      <c r="AQ350" s="5"/>
      <c r="AR350" s="5"/>
      <c r="AS350" s="5"/>
      <c r="AT350" s="5"/>
      <c r="AU350" s="19"/>
      <c r="AV350" s="19"/>
      <c r="AW350" s="5"/>
      <c r="AX350" s="5"/>
      <c r="AY350" s="19"/>
      <c r="AZ350" s="30"/>
      <c r="BA350" s="5"/>
      <c r="BB350" s="31" t="str">
        <f aca="false">IF(OR($T350="",$M350=""),"",$T350-$M350)</f>
        <v/>
      </c>
      <c r="BC350" s="32" t="str">
        <f aca="false">IF(OR($T350="",$M350="",$M350=0),"",($T350-$M350)/$M350)</f>
        <v/>
      </c>
      <c r="BD350" s="31" t="str">
        <f aca="false">IF(OR($U350="",$M350=""),"",$U350-$M350)</f>
        <v/>
      </c>
      <c r="BE350" s="32" t="str">
        <f aca="false">IF(OR($U350="",$M350="",$M350=0),"",($U350-$M350)/$M350)</f>
        <v/>
      </c>
      <c r="BF350" s="32" t="str">
        <f aca="false">IF(OR($U350="",$J350="",$J350=0),"",($U350-$J350)/$J350)</f>
        <v/>
      </c>
      <c r="BG350" s="32" t="str">
        <f aca="false">IF(OR($M350="",$K350="",$K350=0),"",($M350-$K350)/$K350)</f>
        <v/>
      </c>
      <c r="BH350" s="32" t="str">
        <f aca="false">IF(OR($W350="",$N350="",$N350=0),"",($W350-$N350)/$N350)</f>
        <v/>
      </c>
      <c r="BI350" s="33" t="str">
        <f aca="false">IF(OR($O350="",$X350=""),"",$O350-$X350)</f>
        <v/>
      </c>
      <c r="BJ350" s="33" t="str">
        <f aca="false">IF(OR($P350="",$Y350=""),"",$P350-$Y350)</f>
        <v/>
      </c>
      <c r="BK350" s="34" t="str">
        <f aca="false">IF(OR($AN350="",$AO350="",$AN350=0),"",$AO350/$AN350)</f>
        <v/>
      </c>
      <c r="BL350" s="34" t="str">
        <f aca="false">IF(OR($AU350="",$AV350="",$AU350=0),"",$AV350/$AU350)</f>
        <v/>
      </c>
      <c r="BM350" s="7" t="str">
        <f aca="false">IF($Z350="","",IF(AND($Z350="Y",$AB350&lt;&gt;"N",$AC350&lt;&gt;"Y"),"Y","N"))</f>
        <v/>
      </c>
      <c r="BN350" s="7" t="str">
        <f aca="false">IF($AH350="","",IF($Z350&lt;&gt;"Y","undefined",IF($AH350&lt;=1,"Y","N")))</f>
        <v/>
      </c>
      <c r="BO350" s="7" t="str">
        <f aca="false">IF($AH350="","",IF($Z350&lt;&gt;"Y","undefined",IF($AH350&lt;=10,"Y","N")))</f>
        <v/>
      </c>
      <c r="BP350" s="7" t="str">
        <f aca="false">IF($AH350="","",IF($Z350&lt;&gt;"Y","undefined",IF($AH350&lt;=100,"Y","N")))</f>
        <v/>
      </c>
    </row>
    <row r="351" customFormat="false" ht="15" hidden="false" customHeight="false" outlineLevel="0" collapsed="false">
      <c r="A351" s="7" t="str">
        <f aca="false">IF($B351="","",$B351&amp;"|"&amp;$C351&amp;"|"&amp;$F351)</f>
        <v/>
      </c>
      <c r="B351" s="5"/>
      <c r="C351" s="5"/>
      <c r="D351" s="5"/>
      <c r="E351" s="5"/>
      <c r="F351" s="5"/>
      <c r="G351" s="5"/>
      <c r="H351" s="5"/>
      <c r="I351" s="5"/>
      <c r="J351" s="20"/>
      <c r="K351" s="20"/>
      <c r="L351" s="28"/>
      <c r="M351" s="20"/>
      <c r="N351" s="28"/>
      <c r="O351" s="19"/>
      <c r="P351" s="19"/>
      <c r="Q351" s="5"/>
      <c r="R351" s="19"/>
      <c r="S351" s="5"/>
      <c r="T351" s="20"/>
      <c r="U351" s="20"/>
      <c r="V351" s="29"/>
      <c r="W351" s="28"/>
      <c r="X351" s="19"/>
      <c r="Y351" s="19"/>
      <c r="Z351" s="5"/>
      <c r="AA351" s="19"/>
      <c r="AB351" s="5"/>
      <c r="AC351" s="5"/>
      <c r="AD351" s="5"/>
      <c r="AE351" s="5"/>
      <c r="AF351" s="30"/>
      <c r="AG351" s="30"/>
      <c r="AH351" s="30"/>
      <c r="AI351" s="30"/>
      <c r="AJ351" s="30"/>
      <c r="AK351" s="30"/>
      <c r="AL351" s="28"/>
      <c r="AM351" s="5"/>
      <c r="AN351" s="19"/>
      <c r="AO351" s="19"/>
      <c r="AP351" s="5"/>
      <c r="AQ351" s="5"/>
      <c r="AR351" s="5"/>
      <c r="AS351" s="5"/>
      <c r="AT351" s="5"/>
      <c r="AU351" s="19"/>
      <c r="AV351" s="19"/>
      <c r="AW351" s="5"/>
      <c r="AX351" s="5"/>
      <c r="AY351" s="19"/>
      <c r="AZ351" s="30"/>
      <c r="BA351" s="5"/>
      <c r="BB351" s="31" t="str">
        <f aca="false">IF(OR($T351="",$M351=""),"",$T351-$M351)</f>
        <v/>
      </c>
      <c r="BC351" s="32" t="str">
        <f aca="false">IF(OR($T351="",$M351="",$M351=0),"",($T351-$M351)/$M351)</f>
        <v/>
      </c>
      <c r="BD351" s="31" t="str">
        <f aca="false">IF(OR($U351="",$M351=""),"",$U351-$M351)</f>
        <v/>
      </c>
      <c r="BE351" s="32" t="str">
        <f aca="false">IF(OR($U351="",$M351="",$M351=0),"",($U351-$M351)/$M351)</f>
        <v/>
      </c>
      <c r="BF351" s="32" t="str">
        <f aca="false">IF(OR($U351="",$J351="",$J351=0),"",($U351-$J351)/$J351)</f>
        <v/>
      </c>
      <c r="BG351" s="32" t="str">
        <f aca="false">IF(OR($M351="",$K351="",$K351=0),"",($M351-$K351)/$K351)</f>
        <v/>
      </c>
      <c r="BH351" s="32" t="str">
        <f aca="false">IF(OR($W351="",$N351="",$N351=0),"",($W351-$N351)/$N351)</f>
        <v/>
      </c>
      <c r="BI351" s="33" t="str">
        <f aca="false">IF(OR($O351="",$X351=""),"",$O351-$X351)</f>
        <v/>
      </c>
      <c r="BJ351" s="33" t="str">
        <f aca="false">IF(OR($P351="",$Y351=""),"",$P351-$Y351)</f>
        <v/>
      </c>
      <c r="BK351" s="34" t="str">
        <f aca="false">IF(OR($AN351="",$AO351="",$AN351=0),"",$AO351/$AN351)</f>
        <v/>
      </c>
      <c r="BL351" s="34" t="str">
        <f aca="false">IF(OR($AU351="",$AV351="",$AU351=0),"",$AV351/$AU351)</f>
        <v/>
      </c>
      <c r="BM351" s="7" t="str">
        <f aca="false">IF($Z351="","",IF(AND($Z351="Y",$AB351&lt;&gt;"N",$AC351&lt;&gt;"Y"),"Y","N"))</f>
        <v/>
      </c>
      <c r="BN351" s="7" t="str">
        <f aca="false">IF($AH351="","",IF($Z351&lt;&gt;"Y","undefined",IF($AH351&lt;=1,"Y","N")))</f>
        <v/>
      </c>
      <c r="BO351" s="7" t="str">
        <f aca="false">IF($AH351="","",IF($Z351&lt;&gt;"Y","undefined",IF($AH351&lt;=10,"Y","N")))</f>
        <v/>
      </c>
      <c r="BP351" s="7" t="str">
        <f aca="false">IF($AH351="","",IF($Z351&lt;&gt;"Y","undefined",IF($AH351&lt;=100,"Y","N")))</f>
        <v/>
      </c>
    </row>
    <row r="352" customFormat="false" ht="15" hidden="false" customHeight="false" outlineLevel="0" collapsed="false">
      <c r="A352" s="7" t="str">
        <f aca="false">IF($B352="","",$B352&amp;"|"&amp;$C352&amp;"|"&amp;$F352)</f>
        <v/>
      </c>
      <c r="B352" s="5"/>
      <c r="C352" s="5"/>
      <c r="D352" s="5"/>
      <c r="E352" s="5"/>
      <c r="F352" s="5"/>
      <c r="G352" s="5"/>
      <c r="H352" s="5"/>
      <c r="I352" s="5"/>
      <c r="J352" s="20"/>
      <c r="K352" s="20"/>
      <c r="L352" s="28"/>
      <c r="M352" s="20"/>
      <c r="N352" s="28"/>
      <c r="O352" s="19"/>
      <c r="P352" s="19"/>
      <c r="Q352" s="5"/>
      <c r="R352" s="19"/>
      <c r="S352" s="5"/>
      <c r="T352" s="20"/>
      <c r="U352" s="20"/>
      <c r="V352" s="29"/>
      <c r="W352" s="28"/>
      <c r="X352" s="19"/>
      <c r="Y352" s="19"/>
      <c r="Z352" s="5"/>
      <c r="AA352" s="19"/>
      <c r="AB352" s="5"/>
      <c r="AC352" s="5"/>
      <c r="AD352" s="5"/>
      <c r="AE352" s="5"/>
      <c r="AF352" s="30"/>
      <c r="AG352" s="30"/>
      <c r="AH352" s="30"/>
      <c r="AI352" s="30"/>
      <c r="AJ352" s="30"/>
      <c r="AK352" s="30"/>
      <c r="AL352" s="28"/>
      <c r="AM352" s="5"/>
      <c r="AN352" s="19"/>
      <c r="AO352" s="19"/>
      <c r="AP352" s="5"/>
      <c r="AQ352" s="5"/>
      <c r="AR352" s="5"/>
      <c r="AS352" s="5"/>
      <c r="AT352" s="5"/>
      <c r="AU352" s="19"/>
      <c r="AV352" s="19"/>
      <c r="AW352" s="5"/>
      <c r="AX352" s="5"/>
      <c r="AY352" s="19"/>
      <c r="AZ352" s="30"/>
      <c r="BA352" s="5"/>
      <c r="BB352" s="31" t="str">
        <f aca="false">IF(OR($T352="",$M352=""),"",$T352-$M352)</f>
        <v/>
      </c>
      <c r="BC352" s="32" t="str">
        <f aca="false">IF(OR($T352="",$M352="",$M352=0),"",($T352-$M352)/$M352)</f>
        <v/>
      </c>
      <c r="BD352" s="31" t="str">
        <f aca="false">IF(OR($U352="",$M352=""),"",$U352-$M352)</f>
        <v/>
      </c>
      <c r="BE352" s="32" t="str">
        <f aca="false">IF(OR($U352="",$M352="",$M352=0),"",($U352-$M352)/$M352)</f>
        <v/>
      </c>
      <c r="BF352" s="32" t="str">
        <f aca="false">IF(OR($U352="",$J352="",$J352=0),"",($U352-$J352)/$J352)</f>
        <v/>
      </c>
      <c r="BG352" s="32" t="str">
        <f aca="false">IF(OR($M352="",$K352="",$K352=0),"",($M352-$K352)/$K352)</f>
        <v/>
      </c>
      <c r="BH352" s="32" t="str">
        <f aca="false">IF(OR($W352="",$N352="",$N352=0),"",($W352-$N352)/$N352)</f>
        <v/>
      </c>
      <c r="BI352" s="33" t="str">
        <f aca="false">IF(OR($O352="",$X352=""),"",$O352-$X352)</f>
        <v/>
      </c>
      <c r="BJ352" s="33" t="str">
        <f aca="false">IF(OR($P352="",$Y352=""),"",$P352-$Y352)</f>
        <v/>
      </c>
      <c r="BK352" s="34" t="str">
        <f aca="false">IF(OR($AN352="",$AO352="",$AN352=0),"",$AO352/$AN352)</f>
        <v/>
      </c>
      <c r="BL352" s="34" t="str">
        <f aca="false">IF(OR($AU352="",$AV352="",$AU352=0),"",$AV352/$AU352)</f>
        <v/>
      </c>
      <c r="BM352" s="7" t="str">
        <f aca="false">IF($Z352="","",IF(AND($Z352="Y",$AB352&lt;&gt;"N",$AC352&lt;&gt;"Y"),"Y","N"))</f>
        <v/>
      </c>
      <c r="BN352" s="7" t="str">
        <f aca="false">IF($AH352="","",IF($Z352&lt;&gt;"Y","undefined",IF($AH352&lt;=1,"Y","N")))</f>
        <v/>
      </c>
      <c r="BO352" s="7" t="str">
        <f aca="false">IF($AH352="","",IF($Z352&lt;&gt;"Y","undefined",IF($AH352&lt;=10,"Y","N")))</f>
        <v/>
      </c>
      <c r="BP352" s="7" t="str">
        <f aca="false">IF($AH352="","",IF($Z352&lt;&gt;"Y","undefined",IF($AH352&lt;=100,"Y","N")))</f>
        <v/>
      </c>
    </row>
    <row r="353" customFormat="false" ht="15" hidden="false" customHeight="false" outlineLevel="0" collapsed="false">
      <c r="A353" s="7" t="str">
        <f aca="false">IF($B353="","",$B353&amp;"|"&amp;$C353&amp;"|"&amp;$F353)</f>
        <v/>
      </c>
      <c r="B353" s="5"/>
      <c r="C353" s="5"/>
      <c r="D353" s="5"/>
      <c r="E353" s="5"/>
      <c r="F353" s="5"/>
      <c r="G353" s="5"/>
      <c r="H353" s="5"/>
      <c r="I353" s="5"/>
      <c r="J353" s="20"/>
      <c r="K353" s="20"/>
      <c r="L353" s="28"/>
      <c r="M353" s="20"/>
      <c r="N353" s="28"/>
      <c r="O353" s="19"/>
      <c r="P353" s="19"/>
      <c r="Q353" s="5"/>
      <c r="R353" s="19"/>
      <c r="S353" s="5"/>
      <c r="T353" s="20"/>
      <c r="U353" s="20"/>
      <c r="V353" s="29"/>
      <c r="W353" s="28"/>
      <c r="X353" s="19"/>
      <c r="Y353" s="19"/>
      <c r="Z353" s="5"/>
      <c r="AA353" s="19"/>
      <c r="AB353" s="5"/>
      <c r="AC353" s="5"/>
      <c r="AD353" s="5"/>
      <c r="AE353" s="5"/>
      <c r="AF353" s="30"/>
      <c r="AG353" s="30"/>
      <c r="AH353" s="30"/>
      <c r="AI353" s="30"/>
      <c r="AJ353" s="30"/>
      <c r="AK353" s="30"/>
      <c r="AL353" s="28"/>
      <c r="AM353" s="5"/>
      <c r="AN353" s="19"/>
      <c r="AO353" s="19"/>
      <c r="AP353" s="5"/>
      <c r="AQ353" s="5"/>
      <c r="AR353" s="5"/>
      <c r="AS353" s="5"/>
      <c r="AT353" s="5"/>
      <c r="AU353" s="19"/>
      <c r="AV353" s="19"/>
      <c r="AW353" s="5"/>
      <c r="AX353" s="5"/>
      <c r="AY353" s="19"/>
      <c r="AZ353" s="30"/>
      <c r="BA353" s="5"/>
      <c r="BB353" s="31" t="str">
        <f aca="false">IF(OR($T353="",$M353=""),"",$T353-$M353)</f>
        <v/>
      </c>
      <c r="BC353" s="32" t="str">
        <f aca="false">IF(OR($T353="",$M353="",$M353=0),"",($T353-$M353)/$M353)</f>
        <v/>
      </c>
      <c r="BD353" s="31" t="str">
        <f aca="false">IF(OR($U353="",$M353=""),"",$U353-$M353)</f>
        <v/>
      </c>
      <c r="BE353" s="32" t="str">
        <f aca="false">IF(OR($U353="",$M353="",$M353=0),"",($U353-$M353)/$M353)</f>
        <v/>
      </c>
      <c r="BF353" s="32" t="str">
        <f aca="false">IF(OR($U353="",$J353="",$J353=0),"",($U353-$J353)/$J353)</f>
        <v/>
      </c>
      <c r="BG353" s="32" t="str">
        <f aca="false">IF(OR($M353="",$K353="",$K353=0),"",($M353-$K353)/$K353)</f>
        <v/>
      </c>
      <c r="BH353" s="32" t="str">
        <f aca="false">IF(OR($W353="",$N353="",$N353=0),"",($W353-$N353)/$N353)</f>
        <v/>
      </c>
      <c r="BI353" s="33" t="str">
        <f aca="false">IF(OR($O353="",$X353=""),"",$O353-$X353)</f>
        <v/>
      </c>
      <c r="BJ353" s="33" t="str">
        <f aca="false">IF(OR($P353="",$Y353=""),"",$P353-$Y353)</f>
        <v/>
      </c>
      <c r="BK353" s="34" t="str">
        <f aca="false">IF(OR($AN353="",$AO353="",$AN353=0),"",$AO353/$AN353)</f>
        <v/>
      </c>
      <c r="BL353" s="34" t="str">
        <f aca="false">IF(OR($AU353="",$AV353="",$AU353=0),"",$AV353/$AU353)</f>
        <v/>
      </c>
      <c r="BM353" s="7" t="str">
        <f aca="false">IF($Z353="","",IF(AND($Z353="Y",$AB353&lt;&gt;"N",$AC353&lt;&gt;"Y"),"Y","N"))</f>
        <v/>
      </c>
      <c r="BN353" s="7" t="str">
        <f aca="false">IF($AH353="","",IF($Z353&lt;&gt;"Y","undefined",IF($AH353&lt;=1,"Y","N")))</f>
        <v/>
      </c>
      <c r="BO353" s="7" t="str">
        <f aca="false">IF($AH353="","",IF($Z353&lt;&gt;"Y","undefined",IF($AH353&lt;=10,"Y","N")))</f>
        <v/>
      </c>
      <c r="BP353" s="7" t="str">
        <f aca="false">IF($AH353="","",IF($Z353&lt;&gt;"Y","undefined",IF($AH353&lt;=100,"Y","N")))</f>
        <v/>
      </c>
    </row>
    <row r="354" customFormat="false" ht="15" hidden="false" customHeight="false" outlineLevel="0" collapsed="false">
      <c r="A354" s="7" t="str">
        <f aca="false">IF($B354="","",$B354&amp;"|"&amp;$C354&amp;"|"&amp;$F354)</f>
        <v/>
      </c>
      <c r="B354" s="5"/>
      <c r="C354" s="5"/>
      <c r="D354" s="5"/>
      <c r="E354" s="5"/>
      <c r="F354" s="5"/>
      <c r="G354" s="5"/>
      <c r="H354" s="5"/>
      <c r="I354" s="5"/>
      <c r="J354" s="20"/>
      <c r="K354" s="20"/>
      <c r="L354" s="28"/>
      <c r="M354" s="20"/>
      <c r="N354" s="28"/>
      <c r="O354" s="19"/>
      <c r="P354" s="19"/>
      <c r="Q354" s="5"/>
      <c r="R354" s="19"/>
      <c r="S354" s="5"/>
      <c r="T354" s="20"/>
      <c r="U354" s="20"/>
      <c r="V354" s="29"/>
      <c r="W354" s="28"/>
      <c r="X354" s="19"/>
      <c r="Y354" s="19"/>
      <c r="Z354" s="5"/>
      <c r="AA354" s="19"/>
      <c r="AB354" s="5"/>
      <c r="AC354" s="5"/>
      <c r="AD354" s="5"/>
      <c r="AE354" s="5"/>
      <c r="AF354" s="30"/>
      <c r="AG354" s="30"/>
      <c r="AH354" s="30"/>
      <c r="AI354" s="30"/>
      <c r="AJ354" s="30"/>
      <c r="AK354" s="30"/>
      <c r="AL354" s="28"/>
      <c r="AM354" s="5"/>
      <c r="AN354" s="19"/>
      <c r="AO354" s="19"/>
      <c r="AP354" s="5"/>
      <c r="AQ354" s="5"/>
      <c r="AR354" s="5"/>
      <c r="AS354" s="5"/>
      <c r="AT354" s="5"/>
      <c r="AU354" s="19"/>
      <c r="AV354" s="19"/>
      <c r="AW354" s="5"/>
      <c r="AX354" s="5"/>
      <c r="AY354" s="19"/>
      <c r="AZ354" s="30"/>
      <c r="BA354" s="5"/>
      <c r="BB354" s="31" t="str">
        <f aca="false">IF(OR($T354="",$M354=""),"",$T354-$M354)</f>
        <v/>
      </c>
      <c r="BC354" s="32" t="str">
        <f aca="false">IF(OR($T354="",$M354="",$M354=0),"",($T354-$M354)/$M354)</f>
        <v/>
      </c>
      <c r="BD354" s="31" t="str">
        <f aca="false">IF(OR($U354="",$M354=""),"",$U354-$M354)</f>
        <v/>
      </c>
      <c r="BE354" s="32" t="str">
        <f aca="false">IF(OR($U354="",$M354="",$M354=0),"",($U354-$M354)/$M354)</f>
        <v/>
      </c>
      <c r="BF354" s="32" t="str">
        <f aca="false">IF(OR($U354="",$J354="",$J354=0),"",($U354-$J354)/$J354)</f>
        <v/>
      </c>
      <c r="BG354" s="32" t="str">
        <f aca="false">IF(OR($M354="",$K354="",$K354=0),"",($M354-$K354)/$K354)</f>
        <v/>
      </c>
      <c r="BH354" s="32" t="str">
        <f aca="false">IF(OR($W354="",$N354="",$N354=0),"",($W354-$N354)/$N354)</f>
        <v/>
      </c>
      <c r="BI354" s="33" t="str">
        <f aca="false">IF(OR($O354="",$X354=""),"",$O354-$X354)</f>
        <v/>
      </c>
      <c r="BJ354" s="33" t="str">
        <f aca="false">IF(OR($P354="",$Y354=""),"",$P354-$Y354)</f>
        <v/>
      </c>
      <c r="BK354" s="34" t="str">
        <f aca="false">IF(OR($AN354="",$AO354="",$AN354=0),"",$AO354/$AN354)</f>
        <v/>
      </c>
      <c r="BL354" s="34" t="str">
        <f aca="false">IF(OR($AU354="",$AV354="",$AU354=0),"",$AV354/$AU354)</f>
        <v/>
      </c>
      <c r="BM354" s="7" t="str">
        <f aca="false">IF($Z354="","",IF(AND($Z354="Y",$AB354&lt;&gt;"N",$AC354&lt;&gt;"Y"),"Y","N"))</f>
        <v/>
      </c>
      <c r="BN354" s="7" t="str">
        <f aca="false">IF($AH354="","",IF($Z354&lt;&gt;"Y","undefined",IF($AH354&lt;=1,"Y","N")))</f>
        <v/>
      </c>
      <c r="BO354" s="7" t="str">
        <f aca="false">IF($AH354="","",IF($Z354&lt;&gt;"Y","undefined",IF($AH354&lt;=10,"Y","N")))</f>
        <v/>
      </c>
      <c r="BP354" s="7" t="str">
        <f aca="false">IF($AH354="","",IF($Z354&lt;&gt;"Y","undefined",IF($AH354&lt;=100,"Y","N")))</f>
        <v/>
      </c>
    </row>
    <row r="355" customFormat="false" ht="15" hidden="false" customHeight="false" outlineLevel="0" collapsed="false">
      <c r="A355" s="7" t="str">
        <f aca="false">IF($B355="","",$B355&amp;"|"&amp;$C355&amp;"|"&amp;$F355)</f>
        <v/>
      </c>
      <c r="B355" s="5"/>
      <c r="C355" s="5"/>
      <c r="D355" s="5"/>
      <c r="E355" s="5"/>
      <c r="F355" s="5"/>
      <c r="G355" s="5"/>
      <c r="H355" s="5"/>
      <c r="I355" s="5"/>
      <c r="J355" s="20"/>
      <c r="K355" s="20"/>
      <c r="L355" s="28"/>
      <c r="M355" s="20"/>
      <c r="N355" s="28"/>
      <c r="O355" s="19"/>
      <c r="P355" s="19"/>
      <c r="Q355" s="5"/>
      <c r="R355" s="19"/>
      <c r="S355" s="5"/>
      <c r="T355" s="20"/>
      <c r="U355" s="20"/>
      <c r="V355" s="29"/>
      <c r="W355" s="28"/>
      <c r="X355" s="19"/>
      <c r="Y355" s="19"/>
      <c r="Z355" s="5"/>
      <c r="AA355" s="19"/>
      <c r="AB355" s="5"/>
      <c r="AC355" s="5"/>
      <c r="AD355" s="5"/>
      <c r="AE355" s="5"/>
      <c r="AF355" s="30"/>
      <c r="AG355" s="30"/>
      <c r="AH355" s="30"/>
      <c r="AI355" s="30"/>
      <c r="AJ355" s="30"/>
      <c r="AK355" s="30"/>
      <c r="AL355" s="28"/>
      <c r="AM355" s="5"/>
      <c r="AN355" s="19"/>
      <c r="AO355" s="19"/>
      <c r="AP355" s="5"/>
      <c r="AQ355" s="5"/>
      <c r="AR355" s="5"/>
      <c r="AS355" s="5"/>
      <c r="AT355" s="5"/>
      <c r="AU355" s="19"/>
      <c r="AV355" s="19"/>
      <c r="AW355" s="5"/>
      <c r="AX355" s="5"/>
      <c r="AY355" s="19"/>
      <c r="AZ355" s="30"/>
      <c r="BA355" s="5"/>
      <c r="BB355" s="31" t="str">
        <f aca="false">IF(OR($T355="",$M355=""),"",$T355-$M355)</f>
        <v/>
      </c>
      <c r="BC355" s="32" t="str">
        <f aca="false">IF(OR($T355="",$M355="",$M355=0),"",($T355-$M355)/$M355)</f>
        <v/>
      </c>
      <c r="BD355" s="31" t="str">
        <f aca="false">IF(OR($U355="",$M355=""),"",$U355-$M355)</f>
        <v/>
      </c>
      <c r="BE355" s="32" t="str">
        <f aca="false">IF(OR($U355="",$M355="",$M355=0),"",($U355-$M355)/$M355)</f>
        <v/>
      </c>
      <c r="BF355" s="32" t="str">
        <f aca="false">IF(OR($U355="",$J355="",$J355=0),"",($U355-$J355)/$J355)</f>
        <v/>
      </c>
      <c r="BG355" s="32" t="str">
        <f aca="false">IF(OR($M355="",$K355="",$K355=0),"",($M355-$K355)/$K355)</f>
        <v/>
      </c>
      <c r="BH355" s="32" t="str">
        <f aca="false">IF(OR($W355="",$N355="",$N355=0),"",($W355-$N355)/$N355)</f>
        <v/>
      </c>
      <c r="BI355" s="33" t="str">
        <f aca="false">IF(OR($O355="",$X355=""),"",$O355-$X355)</f>
        <v/>
      </c>
      <c r="BJ355" s="33" t="str">
        <f aca="false">IF(OR($P355="",$Y355=""),"",$P355-$Y355)</f>
        <v/>
      </c>
      <c r="BK355" s="34" t="str">
        <f aca="false">IF(OR($AN355="",$AO355="",$AN355=0),"",$AO355/$AN355)</f>
        <v/>
      </c>
      <c r="BL355" s="34" t="str">
        <f aca="false">IF(OR($AU355="",$AV355="",$AU355=0),"",$AV355/$AU355)</f>
        <v/>
      </c>
      <c r="BM355" s="7" t="str">
        <f aca="false">IF($Z355="","",IF(AND($Z355="Y",$AB355&lt;&gt;"N",$AC355&lt;&gt;"Y"),"Y","N"))</f>
        <v/>
      </c>
      <c r="BN355" s="7" t="str">
        <f aca="false">IF($AH355="","",IF($Z355&lt;&gt;"Y","undefined",IF($AH355&lt;=1,"Y","N")))</f>
        <v/>
      </c>
      <c r="BO355" s="7" t="str">
        <f aca="false">IF($AH355="","",IF($Z355&lt;&gt;"Y","undefined",IF($AH355&lt;=10,"Y","N")))</f>
        <v/>
      </c>
      <c r="BP355" s="7" t="str">
        <f aca="false">IF($AH355="","",IF($Z355&lt;&gt;"Y","undefined",IF($AH355&lt;=100,"Y","N")))</f>
        <v/>
      </c>
    </row>
    <row r="356" customFormat="false" ht="15" hidden="false" customHeight="false" outlineLevel="0" collapsed="false">
      <c r="A356" s="7" t="str">
        <f aca="false">IF($B356="","",$B356&amp;"|"&amp;$C356&amp;"|"&amp;$F356)</f>
        <v/>
      </c>
      <c r="B356" s="5"/>
      <c r="C356" s="5"/>
      <c r="D356" s="5"/>
      <c r="E356" s="5"/>
      <c r="F356" s="5"/>
      <c r="G356" s="5"/>
      <c r="H356" s="5"/>
      <c r="I356" s="5"/>
      <c r="J356" s="20"/>
      <c r="K356" s="20"/>
      <c r="L356" s="28"/>
      <c r="M356" s="20"/>
      <c r="N356" s="28"/>
      <c r="O356" s="19"/>
      <c r="P356" s="19"/>
      <c r="Q356" s="5"/>
      <c r="R356" s="19"/>
      <c r="S356" s="5"/>
      <c r="T356" s="20"/>
      <c r="U356" s="20"/>
      <c r="V356" s="29"/>
      <c r="W356" s="28"/>
      <c r="X356" s="19"/>
      <c r="Y356" s="19"/>
      <c r="Z356" s="5"/>
      <c r="AA356" s="19"/>
      <c r="AB356" s="5"/>
      <c r="AC356" s="5"/>
      <c r="AD356" s="5"/>
      <c r="AE356" s="5"/>
      <c r="AF356" s="30"/>
      <c r="AG356" s="30"/>
      <c r="AH356" s="30"/>
      <c r="AI356" s="30"/>
      <c r="AJ356" s="30"/>
      <c r="AK356" s="30"/>
      <c r="AL356" s="28"/>
      <c r="AM356" s="5"/>
      <c r="AN356" s="19"/>
      <c r="AO356" s="19"/>
      <c r="AP356" s="5"/>
      <c r="AQ356" s="5"/>
      <c r="AR356" s="5"/>
      <c r="AS356" s="5"/>
      <c r="AT356" s="5"/>
      <c r="AU356" s="19"/>
      <c r="AV356" s="19"/>
      <c r="AW356" s="5"/>
      <c r="AX356" s="5"/>
      <c r="AY356" s="19"/>
      <c r="AZ356" s="30"/>
      <c r="BA356" s="5"/>
      <c r="BB356" s="31" t="str">
        <f aca="false">IF(OR($T356="",$M356=""),"",$T356-$M356)</f>
        <v/>
      </c>
      <c r="BC356" s="32" t="str">
        <f aca="false">IF(OR($T356="",$M356="",$M356=0),"",($T356-$M356)/$M356)</f>
        <v/>
      </c>
      <c r="BD356" s="31" t="str">
        <f aca="false">IF(OR($U356="",$M356=""),"",$U356-$M356)</f>
        <v/>
      </c>
      <c r="BE356" s="32" t="str">
        <f aca="false">IF(OR($U356="",$M356="",$M356=0),"",($U356-$M356)/$M356)</f>
        <v/>
      </c>
      <c r="BF356" s="32" t="str">
        <f aca="false">IF(OR($U356="",$J356="",$J356=0),"",($U356-$J356)/$J356)</f>
        <v/>
      </c>
      <c r="BG356" s="32" t="str">
        <f aca="false">IF(OR($M356="",$K356="",$K356=0),"",($M356-$K356)/$K356)</f>
        <v/>
      </c>
      <c r="BH356" s="32" t="str">
        <f aca="false">IF(OR($W356="",$N356="",$N356=0),"",($W356-$N356)/$N356)</f>
        <v/>
      </c>
      <c r="BI356" s="33" t="str">
        <f aca="false">IF(OR($O356="",$X356=""),"",$O356-$X356)</f>
        <v/>
      </c>
      <c r="BJ356" s="33" t="str">
        <f aca="false">IF(OR($P356="",$Y356=""),"",$P356-$Y356)</f>
        <v/>
      </c>
      <c r="BK356" s="34" t="str">
        <f aca="false">IF(OR($AN356="",$AO356="",$AN356=0),"",$AO356/$AN356)</f>
        <v/>
      </c>
      <c r="BL356" s="34" t="str">
        <f aca="false">IF(OR($AU356="",$AV356="",$AU356=0),"",$AV356/$AU356)</f>
        <v/>
      </c>
      <c r="BM356" s="7" t="str">
        <f aca="false">IF($Z356="","",IF(AND($Z356="Y",$AB356&lt;&gt;"N",$AC356&lt;&gt;"Y"),"Y","N"))</f>
        <v/>
      </c>
      <c r="BN356" s="7" t="str">
        <f aca="false">IF($AH356="","",IF($Z356&lt;&gt;"Y","undefined",IF($AH356&lt;=1,"Y","N")))</f>
        <v/>
      </c>
      <c r="BO356" s="7" t="str">
        <f aca="false">IF($AH356="","",IF($Z356&lt;&gt;"Y","undefined",IF($AH356&lt;=10,"Y","N")))</f>
        <v/>
      </c>
      <c r="BP356" s="7" t="str">
        <f aca="false">IF($AH356="","",IF($Z356&lt;&gt;"Y","undefined",IF($AH356&lt;=100,"Y","N")))</f>
        <v/>
      </c>
    </row>
    <row r="357" customFormat="false" ht="15" hidden="false" customHeight="false" outlineLevel="0" collapsed="false">
      <c r="A357" s="7" t="str">
        <f aca="false">IF($B357="","",$B357&amp;"|"&amp;$C357&amp;"|"&amp;$F357)</f>
        <v/>
      </c>
      <c r="B357" s="5"/>
      <c r="C357" s="5"/>
      <c r="D357" s="5"/>
      <c r="E357" s="5"/>
      <c r="F357" s="5"/>
      <c r="G357" s="5"/>
      <c r="H357" s="5"/>
      <c r="I357" s="5"/>
      <c r="J357" s="20"/>
      <c r="K357" s="20"/>
      <c r="L357" s="28"/>
      <c r="M357" s="20"/>
      <c r="N357" s="28"/>
      <c r="O357" s="19"/>
      <c r="P357" s="19"/>
      <c r="Q357" s="5"/>
      <c r="R357" s="19"/>
      <c r="S357" s="5"/>
      <c r="T357" s="20"/>
      <c r="U357" s="20"/>
      <c r="V357" s="29"/>
      <c r="W357" s="28"/>
      <c r="X357" s="19"/>
      <c r="Y357" s="19"/>
      <c r="Z357" s="5"/>
      <c r="AA357" s="19"/>
      <c r="AB357" s="5"/>
      <c r="AC357" s="5"/>
      <c r="AD357" s="5"/>
      <c r="AE357" s="5"/>
      <c r="AF357" s="30"/>
      <c r="AG357" s="30"/>
      <c r="AH357" s="30"/>
      <c r="AI357" s="30"/>
      <c r="AJ357" s="30"/>
      <c r="AK357" s="30"/>
      <c r="AL357" s="28"/>
      <c r="AM357" s="5"/>
      <c r="AN357" s="19"/>
      <c r="AO357" s="19"/>
      <c r="AP357" s="5"/>
      <c r="AQ357" s="5"/>
      <c r="AR357" s="5"/>
      <c r="AS357" s="5"/>
      <c r="AT357" s="5"/>
      <c r="AU357" s="19"/>
      <c r="AV357" s="19"/>
      <c r="AW357" s="5"/>
      <c r="AX357" s="5"/>
      <c r="AY357" s="19"/>
      <c r="AZ357" s="30"/>
      <c r="BA357" s="5"/>
      <c r="BB357" s="31" t="str">
        <f aca="false">IF(OR($T357="",$M357=""),"",$T357-$M357)</f>
        <v/>
      </c>
      <c r="BC357" s="32" t="str">
        <f aca="false">IF(OR($T357="",$M357="",$M357=0),"",($T357-$M357)/$M357)</f>
        <v/>
      </c>
      <c r="BD357" s="31" t="str">
        <f aca="false">IF(OR($U357="",$M357=""),"",$U357-$M357)</f>
        <v/>
      </c>
      <c r="BE357" s="32" t="str">
        <f aca="false">IF(OR($U357="",$M357="",$M357=0),"",($U357-$M357)/$M357)</f>
        <v/>
      </c>
      <c r="BF357" s="32" t="str">
        <f aca="false">IF(OR($U357="",$J357="",$J357=0),"",($U357-$J357)/$J357)</f>
        <v/>
      </c>
      <c r="BG357" s="32" t="str">
        <f aca="false">IF(OR($M357="",$K357="",$K357=0),"",($M357-$K357)/$K357)</f>
        <v/>
      </c>
      <c r="BH357" s="32" t="str">
        <f aca="false">IF(OR($W357="",$N357="",$N357=0),"",($W357-$N357)/$N357)</f>
        <v/>
      </c>
      <c r="BI357" s="33" t="str">
        <f aca="false">IF(OR($O357="",$X357=""),"",$O357-$X357)</f>
        <v/>
      </c>
      <c r="BJ357" s="33" t="str">
        <f aca="false">IF(OR($P357="",$Y357=""),"",$P357-$Y357)</f>
        <v/>
      </c>
      <c r="BK357" s="34" t="str">
        <f aca="false">IF(OR($AN357="",$AO357="",$AN357=0),"",$AO357/$AN357)</f>
        <v/>
      </c>
      <c r="BL357" s="34" t="str">
        <f aca="false">IF(OR($AU357="",$AV357="",$AU357=0),"",$AV357/$AU357)</f>
        <v/>
      </c>
      <c r="BM357" s="7" t="str">
        <f aca="false">IF($Z357="","",IF(AND($Z357="Y",$AB357&lt;&gt;"N",$AC357&lt;&gt;"Y"),"Y","N"))</f>
        <v/>
      </c>
      <c r="BN357" s="7" t="str">
        <f aca="false">IF($AH357="","",IF($Z357&lt;&gt;"Y","undefined",IF($AH357&lt;=1,"Y","N")))</f>
        <v/>
      </c>
      <c r="BO357" s="7" t="str">
        <f aca="false">IF($AH357="","",IF($Z357&lt;&gt;"Y","undefined",IF($AH357&lt;=10,"Y","N")))</f>
        <v/>
      </c>
      <c r="BP357" s="7" t="str">
        <f aca="false">IF($AH357="","",IF($Z357&lt;&gt;"Y","undefined",IF($AH357&lt;=100,"Y","N")))</f>
        <v/>
      </c>
    </row>
    <row r="358" customFormat="false" ht="15" hidden="false" customHeight="false" outlineLevel="0" collapsed="false">
      <c r="A358" s="7" t="str">
        <f aca="false">IF($B358="","",$B358&amp;"|"&amp;$C358&amp;"|"&amp;$F358)</f>
        <v/>
      </c>
      <c r="B358" s="5"/>
      <c r="C358" s="5"/>
      <c r="D358" s="5"/>
      <c r="E358" s="5"/>
      <c r="F358" s="5"/>
      <c r="G358" s="5"/>
      <c r="H358" s="5"/>
      <c r="I358" s="5"/>
      <c r="J358" s="20"/>
      <c r="K358" s="20"/>
      <c r="L358" s="28"/>
      <c r="M358" s="20"/>
      <c r="N358" s="28"/>
      <c r="O358" s="19"/>
      <c r="P358" s="19"/>
      <c r="Q358" s="5"/>
      <c r="R358" s="19"/>
      <c r="S358" s="5"/>
      <c r="T358" s="20"/>
      <c r="U358" s="20"/>
      <c r="V358" s="29"/>
      <c r="W358" s="28"/>
      <c r="X358" s="19"/>
      <c r="Y358" s="19"/>
      <c r="Z358" s="5"/>
      <c r="AA358" s="19"/>
      <c r="AB358" s="5"/>
      <c r="AC358" s="5"/>
      <c r="AD358" s="5"/>
      <c r="AE358" s="5"/>
      <c r="AF358" s="30"/>
      <c r="AG358" s="30"/>
      <c r="AH358" s="30"/>
      <c r="AI358" s="30"/>
      <c r="AJ358" s="30"/>
      <c r="AK358" s="30"/>
      <c r="AL358" s="28"/>
      <c r="AM358" s="5"/>
      <c r="AN358" s="19"/>
      <c r="AO358" s="19"/>
      <c r="AP358" s="5"/>
      <c r="AQ358" s="5"/>
      <c r="AR358" s="5"/>
      <c r="AS358" s="5"/>
      <c r="AT358" s="5"/>
      <c r="AU358" s="19"/>
      <c r="AV358" s="19"/>
      <c r="AW358" s="5"/>
      <c r="AX358" s="5"/>
      <c r="AY358" s="19"/>
      <c r="AZ358" s="30"/>
      <c r="BA358" s="5"/>
      <c r="BB358" s="31" t="str">
        <f aca="false">IF(OR($T358="",$M358=""),"",$T358-$M358)</f>
        <v/>
      </c>
      <c r="BC358" s="32" t="str">
        <f aca="false">IF(OR($T358="",$M358="",$M358=0),"",($T358-$M358)/$M358)</f>
        <v/>
      </c>
      <c r="BD358" s="31" t="str">
        <f aca="false">IF(OR($U358="",$M358=""),"",$U358-$M358)</f>
        <v/>
      </c>
      <c r="BE358" s="32" t="str">
        <f aca="false">IF(OR($U358="",$M358="",$M358=0),"",($U358-$M358)/$M358)</f>
        <v/>
      </c>
      <c r="BF358" s="32" t="str">
        <f aca="false">IF(OR($U358="",$J358="",$J358=0),"",($U358-$J358)/$J358)</f>
        <v/>
      </c>
      <c r="BG358" s="32" t="str">
        <f aca="false">IF(OR($M358="",$K358="",$K358=0),"",($M358-$K358)/$K358)</f>
        <v/>
      </c>
      <c r="BH358" s="32" t="str">
        <f aca="false">IF(OR($W358="",$N358="",$N358=0),"",($W358-$N358)/$N358)</f>
        <v/>
      </c>
      <c r="BI358" s="33" t="str">
        <f aca="false">IF(OR($O358="",$X358=""),"",$O358-$X358)</f>
        <v/>
      </c>
      <c r="BJ358" s="33" t="str">
        <f aca="false">IF(OR($P358="",$Y358=""),"",$P358-$Y358)</f>
        <v/>
      </c>
      <c r="BK358" s="34" t="str">
        <f aca="false">IF(OR($AN358="",$AO358="",$AN358=0),"",$AO358/$AN358)</f>
        <v/>
      </c>
      <c r="BL358" s="34" t="str">
        <f aca="false">IF(OR($AU358="",$AV358="",$AU358=0),"",$AV358/$AU358)</f>
        <v/>
      </c>
      <c r="BM358" s="7" t="str">
        <f aca="false">IF($Z358="","",IF(AND($Z358="Y",$AB358&lt;&gt;"N",$AC358&lt;&gt;"Y"),"Y","N"))</f>
        <v/>
      </c>
      <c r="BN358" s="7" t="str">
        <f aca="false">IF($AH358="","",IF($Z358&lt;&gt;"Y","undefined",IF($AH358&lt;=1,"Y","N")))</f>
        <v/>
      </c>
      <c r="BO358" s="7" t="str">
        <f aca="false">IF($AH358="","",IF($Z358&lt;&gt;"Y","undefined",IF($AH358&lt;=10,"Y","N")))</f>
        <v/>
      </c>
      <c r="BP358" s="7" t="str">
        <f aca="false">IF($AH358="","",IF($Z358&lt;&gt;"Y","undefined",IF($AH358&lt;=100,"Y","N")))</f>
        <v/>
      </c>
    </row>
    <row r="359" customFormat="false" ht="15" hidden="false" customHeight="false" outlineLevel="0" collapsed="false">
      <c r="A359" s="7" t="str">
        <f aca="false">IF($B359="","",$B359&amp;"|"&amp;$C359&amp;"|"&amp;$F359)</f>
        <v/>
      </c>
      <c r="B359" s="5"/>
      <c r="C359" s="5"/>
      <c r="D359" s="5"/>
      <c r="E359" s="5"/>
      <c r="F359" s="5"/>
      <c r="G359" s="5"/>
      <c r="H359" s="5"/>
      <c r="I359" s="5"/>
      <c r="J359" s="20"/>
      <c r="K359" s="20"/>
      <c r="L359" s="28"/>
      <c r="M359" s="20"/>
      <c r="N359" s="28"/>
      <c r="O359" s="19"/>
      <c r="P359" s="19"/>
      <c r="Q359" s="5"/>
      <c r="R359" s="19"/>
      <c r="S359" s="5"/>
      <c r="T359" s="20"/>
      <c r="U359" s="20"/>
      <c r="V359" s="29"/>
      <c r="W359" s="28"/>
      <c r="X359" s="19"/>
      <c r="Y359" s="19"/>
      <c r="Z359" s="5"/>
      <c r="AA359" s="19"/>
      <c r="AB359" s="5"/>
      <c r="AC359" s="5"/>
      <c r="AD359" s="5"/>
      <c r="AE359" s="5"/>
      <c r="AF359" s="30"/>
      <c r="AG359" s="30"/>
      <c r="AH359" s="30"/>
      <c r="AI359" s="30"/>
      <c r="AJ359" s="30"/>
      <c r="AK359" s="30"/>
      <c r="AL359" s="28"/>
      <c r="AM359" s="5"/>
      <c r="AN359" s="19"/>
      <c r="AO359" s="19"/>
      <c r="AP359" s="5"/>
      <c r="AQ359" s="5"/>
      <c r="AR359" s="5"/>
      <c r="AS359" s="5"/>
      <c r="AT359" s="5"/>
      <c r="AU359" s="19"/>
      <c r="AV359" s="19"/>
      <c r="AW359" s="5"/>
      <c r="AX359" s="5"/>
      <c r="AY359" s="19"/>
      <c r="AZ359" s="30"/>
      <c r="BA359" s="5"/>
      <c r="BB359" s="31" t="str">
        <f aca="false">IF(OR($T359="",$M359=""),"",$T359-$M359)</f>
        <v/>
      </c>
      <c r="BC359" s="32" t="str">
        <f aca="false">IF(OR($T359="",$M359="",$M359=0),"",($T359-$M359)/$M359)</f>
        <v/>
      </c>
      <c r="BD359" s="31" t="str">
        <f aca="false">IF(OR($U359="",$M359=""),"",$U359-$M359)</f>
        <v/>
      </c>
      <c r="BE359" s="32" t="str">
        <f aca="false">IF(OR($U359="",$M359="",$M359=0),"",($U359-$M359)/$M359)</f>
        <v/>
      </c>
      <c r="BF359" s="32" t="str">
        <f aca="false">IF(OR($U359="",$J359="",$J359=0),"",($U359-$J359)/$J359)</f>
        <v/>
      </c>
      <c r="BG359" s="32" t="str">
        <f aca="false">IF(OR($M359="",$K359="",$K359=0),"",($M359-$K359)/$K359)</f>
        <v/>
      </c>
      <c r="BH359" s="32" t="str">
        <f aca="false">IF(OR($W359="",$N359="",$N359=0),"",($W359-$N359)/$N359)</f>
        <v/>
      </c>
      <c r="BI359" s="33" t="str">
        <f aca="false">IF(OR($O359="",$X359=""),"",$O359-$X359)</f>
        <v/>
      </c>
      <c r="BJ359" s="33" t="str">
        <f aca="false">IF(OR($P359="",$Y359=""),"",$P359-$Y359)</f>
        <v/>
      </c>
      <c r="BK359" s="34" t="str">
        <f aca="false">IF(OR($AN359="",$AO359="",$AN359=0),"",$AO359/$AN359)</f>
        <v/>
      </c>
      <c r="BL359" s="34" t="str">
        <f aca="false">IF(OR($AU359="",$AV359="",$AU359=0),"",$AV359/$AU359)</f>
        <v/>
      </c>
      <c r="BM359" s="7" t="str">
        <f aca="false">IF($Z359="","",IF(AND($Z359="Y",$AB359&lt;&gt;"N",$AC359&lt;&gt;"Y"),"Y","N"))</f>
        <v/>
      </c>
      <c r="BN359" s="7" t="str">
        <f aca="false">IF($AH359="","",IF($Z359&lt;&gt;"Y","undefined",IF($AH359&lt;=1,"Y","N")))</f>
        <v/>
      </c>
      <c r="BO359" s="7" t="str">
        <f aca="false">IF($AH359="","",IF($Z359&lt;&gt;"Y","undefined",IF($AH359&lt;=10,"Y","N")))</f>
        <v/>
      </c>
      <c r="BP359" s="7" t="str">
        <f aca="false">IF($AH359="","",IF($Z359&lt;&gt;"Y","undefined",IF($AH359&lt;=100,"Y","N")))</f>
        <v/>
      </c>
    </row>
    <row r="360" customFormat="false" ht="15" hidden="false" customHeight="false" outlineLevel="0" collapsed="false">
      <c r="A360" s="7" t="str">
        <f aca="false">IF($B360="","",$B360&amp;"|"&amp;$C360&amp;"|"&amp;$F360)</f>
        <v/>
      </c>
      <c r="B360" s="5"/>
      <c r="C360" s="5"/>
      <c r="D360" s="5"/>
      <c r="E360" s="5"/>
      <c r="F360" s="5"/>
      <c r="G360" s="5"/>
      <c r="H360" s="5"/>
      <c r="I360" s="5"/>
      <c r="J360" s="20"/>
      <c r="K360" s="20"/>
      <c r="L360" s="28"/>
      <c r="M360" s="20"/>
      <c r="N360" s="28"/>
      <c r="O360" s="19"/>
      <c r="P360" s="19"/>
      <c r="Q360" s="5"/>
      <c r="R360" s="19"/>
      <c r="S360" s="5"/>
      <c r="T360" s="20"/>
      <c r="U360" s="20"/>
      <c r="V360" s="29"/>
      <c r="W360" s="28"/>
      <c r="X360" s="19"/>
      <c r="Y360" s="19"/>
      <c r="Z360" s="5"/>
      <c r="AA360" s="19"/>
      <c r="AB360" s="5"/>
      <c r="AC360" s="5"/>
      <c r="AD360" s="5"/>
      <c r="AE360" s="5"/>
      <c r="AF360" s="30"/>
      <c r="AG360" s="30"/>
      <c r="AH360" s="30"/>
      <c r="AI360" s="30"/>
      <c r="AJ360" s="30"/>
      <c r="AK360" s="30"/>
      <c r="AL360" s="28"/>
      <c r="AM360" s="5"/>
      <c r="AN360" s="19"/>
      <c r="AO360" s="19"/>
      <c r="AP360" s="5"/>
      <c r="AQ360" s="5"/>
      <c r="AR360" s="5"/>
      <c r="AS360" s="5"/>
      <c r="AT360" s="5"/>
      <c r="AU360" s="19"/>
      <c r="AV360" s="19"/>
      <c r="AW360" s="5"/>
      <c r="AX360" s="5"/>
      <c r="AY360" s="19"/>
      <c r="AZ360" s="30"/>
      <c r="BA360" s="5"/>
      <c r="BB360" s="31" t="str">
        <f aca="false">IF(OR($T360="",$M360=""),"",$T360-$M360)</f>
        <v/>
      </c>
      <c r="BC360" s="32" t="str">
        <f aca="false">IF(OR($T360="",$M360="",$M360=0),"",($T360-$M360)/$M360)</f>
        <v/>
      </c>
      <c r="BD360" s="31" t="str">
        <f aca="false">IF(OR($U360="",$M360=""),"",$U360-$M360)</f>
        <v/>
      </c>
      <c r="BE360" s="32" t="str">
        <f aca="false">IF(OR($U360="",$M360="",$M360=0),"",($U360-$M360)/$M360)</f>
        <v/>
      </c>
      <c r="BF360" s="32" t="str">
        <f aca="false">IF(OR($U360="",$J360="",$J360=0),"",($U360-$J360)/$J360)</f>
        <v/>
      </c>
      <c r="BG360" s="32" t="str">
        <f aca="false">IF(OR($M360="",$K360="",$K360=0),"",($M360-$K360)/$K360)</f>
        <v/>
      </c>
      <c r="BH360" s="32" t="str">
        <f aca="false">IF(OR($W360="",$N360="",$N360=0),"",($W360-$N360)/$N360)</f>
        <v/>
      </c>
      <c r="BI360" s="33" t="str">
        <f aca="false">IF(OR($O360="",$X360=""),"",$O360-$X360)</f>
        <v/>
      </c>
      <c r="BJ360" s="33" t="str">
        <f aca="false">IF(OR($P360="",$Y360=""),"",$P360-$Y360)</f>
        <v/>
      </c>
      <c r="BK360" s="34" t="str">
        <f aca="false">IF(OR($AN360="",$AO360="",$AN360=0),"",$AO360/$AN360)</f>
        <v/>
      </c>
      <c r="BL360" s="34" t="str">
        <f aca="false">IF(OR($AU360="",$AV360="",$AU360=0),"",$AV360/$AU360)</f>
        <v/>
      </c>
      <c r="BM360" s="7" t="str">
        <f aca="false">IF($Z360="","",IF(AND($Z360="Y",$AB360&lt;&gt;"N",$AC360&lt;&gt;"Y"),"Y","N"))</f>
        <v/>
      </c>
      <c r="BN360" s="7" t="str">
        <f aca="false">IF($AH360="","",IF($Z360&lt;&gt;"Y","undefined",IF($AH360&lt;=1,"Y","N")))</f>
        <v/>
      </c>
      <c r="BO360" s="7" t="str">
        <f aca="false">IF($AH360="","",IF($Z360&lt;&gt;"Y","undefined",IF($AH360&lt;=10,"Y","N")))</f>
        <v/>
      </c>
      <c r="BP360" s="7" t="str">
        <f aca="false">IF($AH360="","",IF($Z360&lt;&gt;"Y","undefined",IF($AH360&lt;=100,"Y","N")))</f>
        <v/>
      </c>
    </row>
    <row r="361" customFormat="false" ht="15" hidden="false" customHeight="false" outlineLevel="0" collapsed="false">
      <c r="A361" s="7" t="str">
        <f aca="false">IF($B361="","",$B361&amp;"|"&amp;$C361&amp;"|"&amp;$F361)</f>
        <v/>
      </c>
      <c r="B361" s="5"/>
      <c r="C361" s="5"/>
      <c r="D361" s="5"/>
      <c r="E361" s="5"/>
      <c r="F361" s="5"/>
      <c r="G361" s="5"/>
      <c r="H361" s="5"/>
      <c r="I361" s="5"/>
      <c r="J361" s="20"/>
      <c r="K361" s="20"/>
      <c r="L361" s="28"/>
      <c r="M361" s="20"/>
      <c r="N361" s="28"/>
      <c r="O361" s="19"/>
      <c r="P361" s="19"/>
      <c r="Q361" s="5"/>
      <c r="R361" s="19"/>
      <c r="S361" s="5"/>
      <c r="T361" s="20"/>
      <c r="U361" s="20"/>
      <c r="V361" s="29"/>
      <c r="W361" s="28"/>
      <c r="X361" s="19"/>
      <c r="Y361" s="19"/>
      <c r="Z361" s="5"/>
      <c r="AA361" s="19"/>
      <c r="AB361" s="5"/>
      <c r="AC361" s="5"/>
      <c r="AD361" s="5"/>
      <c r="AE361" s="5"/>
      <c r="AF361" s="30"/>
      <c r="AG361" s="30"/>
      <c r="AH361" s="30"/>
      <c r="AI361" s="30"/>
      <c r="AJ361" s="30"/>
      <c r="AK361" s="30"/>
      <c r="AL361" s="28"/>
      <c r="AM361" s="5"/>
      <c r="AN361" s="19"/>
      <c r="AO361" s="19"/>
      <c r="AP361" s="5"/>
      <c r="AQ361" s="5"/>
      <c r="AR361" s="5"/>
      <c r="AS361" s="5"/>
      <c r="AT361" s="5"/>
      <c r="AU361" s="19"/>
      <c r="AV361" s="19"/>
      <c r="AW361" s="5"/>
      <c r="AX361" s="5"/>
      <c r="AY361" s="19"/>
      <c r="AZ361" s="30"/>
      <c r="BA361" s="5"/>
      <c r="BB361" s="31" t="str">
        <f aca="false">IF(OR($T361="",$M361=""),"",$T361-$M361)</f>
        <v/>
      </c>
      <c r="BC361" s="32" t="str">
        <f aca="false">IF(OR($T361="",$M361="",$M361=0),"",($T361-$M361)/$M361)</f>
        <v/>
      </c>
      <c r="BD361" s="31" t="str">
        <f aca="false">IF(OR($U361="",$M361=""),"",$U361-$M361)</f>
        <v/>
      </c>
      <c r="BE361" s="32" t="str">
        <f aca="false">IF(OR($U361="",$M361="",$M361=0),"",($U361-$M361)/$M361)</f>
        <v/>
      </c>
      <c r="BF361" s="32" t="str">
        <f aca="false">IF(OR($U361="",$J361="",$J361=0),"",($U361-$J361)/$J361)</f>
        <v/>
      </c>
      <c r="BG361" s="32" t="str">
        <f aca="false">IF(OR($M361="",$K361="",$K361=0),"",($M361-$K361)/$K361)</f>
        <v/>
      </c>
      <c r="BH361" s="32" t="str">
        <f aca="false">IF(OR($W361="",$N361="",$N361=0),"",($W361-$N361)/$N361)</f>
        <v/>
      </c>
      <c r="BI361" s="33" t="str">
        <f aca="false">IF(OR($O361="",$X361=""),"",$O361-$X361)</f>
        <v/>
      </c>
      <c r="BJ361" s="33" t="str">
        <f aca="false">IF(OR($P361="",$Y361=""),"",$P361-$Y361)</f>
        <v/>
      </c>
      <c r="BK361" s="34" t="str">
        <f aca="false">IF(OR($AN361="",$AO361="",$AN361=0),"",$AO361/$AN361)</f>
        <v/>
      </c>
      <c r="BL361" s="34" t="str">
        <f aca="false">IF(OR($AU361="",$AV361="",$AU361=0),"",$AV361/$AU361)</f>
        <v/>
      </c>
      <c r="BM361" s="7" t="str">
        <f aca="false">IF($Z361="","",IF(AND($Z361="Y",$AB361&lt;&gt;"N",$AC361&lt;&gt;"Y"),"Y","N"))</f>
        <v/>
      </c>
      <c r="BN361" s="7" t="str">
        <f aca="false">IF($AH361="","",IF($Z361&lt;&gt;"Y","undefined",IF($AH361&lt;=1,"Y","N")))</f>
        <v/>
      </c>
      <c r="BO361" s="7" t="str">
        <f aca="false">IF($AH361="","",IF($Z361&lt;&gt;"Y","undefined",IF($AH361&lt;=10,"Y","N")))</f>
        <v/>
      </c>
      <c r="BP361" s="7" t="str">
        <f aca="false">IF($AH361="","",IF($Z361&lt;&gt;"Y","undefined",IF($AH361&lt;=100,"Y","N")))</f>
        <v/>
      </c>
    </row>
    <row r="362" customFormat="false" ht="15" hidden="false" customHeight="false" outlineLevel="0" collapsed="false">
      <c r="A362" s="7" t="str">
        <f aca="false">IF($B362="","",$B362&amp;"|"&amp;$C362&amp;"|"&amp;$F362)</f>
        <v/>
      </c>
      <c r="B362" s="5"/>
      <c r="C362" s="5"/>
      <c r="D362" s="5"/>
      <c r="E362" s="5"/>
      <c r="F362" s="5"/>
      <c r="G362" s="5"/>
      <c r="H362" s="5"/>
      <c r="I362" s="5"/>
      <c r="J362" s="20"/>
      <c r="K362" s="20"/>
      <c r="L362" s="28"/>
      <c r="M362" s="20"/>
      <c r="N362" s="28"/>
      <c r="O362" s="19"/>
      <c r="P362" s="19"/>
      <c r="Q362" s="5"/>
      <c r="R362" s="19"/>
      <c r="S362" s="5"/>
      <c r="T362" s="20"/>
      <c r="U362" s="20"/>
      <c r="V362" s="29"/>
      <c r="W362" s="28"/>
      <c r="X362" s="19"/>
      <c r="Y362" s="19"/>
      <c r="Z362" s="5"/>
      <c r="AA362" s="19"/>
      <c r="AB362" s="5"/>
      <c r="AC362" s="5"/>
      <c r="AD362" s="5"/>
      <c r="AE362" s="5"/>
      <c r="AF362" s="30"/>
      <c r="AG362" s="30"/>
      <c r="AH362" s="30"/>
      <c r="AI362" s="30"/>
      <c r="AJ362" s="30"/>
      <c r="AK362" s="30"/>
      <c r="AL362" s="28"/>
      <c r="AM362" s="5"/>
      <c r="AN362" s="19"/>
      <c r="AO362" s="19"/>
      <c r="AP362" s="5"/>
      <c r="AQ362" s="5"/>
      <c r="AR362" s="5"/>
      <c r="AS362" s="5"/>
      <c r="AT362" s="5"/>
      <c r="AU362" s="19"/>
      <c r="AV362" s="19"/>
      <c r="AW362" s="5"/>
      <c r="AX362" s="5"/>
      <c r="AY362" s="19"/>
      <c r="AZ362" s="30"/>
      <c r="BA362" s="5"/>
      <c r="BB362" s="31" t="str">
        <f aca="false">IF(OR($T362="",$M362=""),"",$T362-$M362)</f>
        <v/>
      </c>
      <c r="BC362" s="32" t="str">
        <f aca="false">IF(OR($T362="",$M362="",$M362=0),"",($T362-$M362)/$M362)</f>
        <v/>
      </c>
      <c r="BD362" s="31" t="str">
        <f aca="false">IF(OR($U362="",$M362=""),"",$U362-$M362)</f>
        <v/>
      </c>
      <c r="BE362" s="32" t="str">
        <f aca="false">IF(OR($U362="",$M362="",$M362=0),"",($U362-$M362)/$M362)</f>
        <v/>
      </c>
      <c r="BF362" s="32" t="str">
        <f aca="false">IF(OR($U362="",$J362="",$J362=0),"",($U362-$J362)/$J362)</f>
        <v/>
      </c>
      <c r="BG362" s="32" t="str">
        <f aca="false">IF(OR($M362="",$K362="",$K362=0),"",($M362-$K362)/$K362)</f>
        <v/>
      </c>
      <c r="BH362" s="32" t="str">
        <f aca="false">IF(OR($W362="",$N362="",$N362=0),"",($W362-$N362)/$N362)</f>
        <v/>
      </c>
      <c r="BI362" s="33" t="str">
        <f aca="false">IF(OR($O362="",$X362=""),"",$O362-$X362)</f>
        <v/>
      </c>
      <c r="BJ362" s="33" t="str">
        <f aca="false">IF(OR($P362="",$Y362=""),"",$P362-$Y362)</f>
        <v/>
      </c>
      <c r="BK362" s="34" t="str">
        <f aca="false">IF(OR($AN362="",$AO362="",$AN362=0),"",$AO362/$AN362)</f>
        <v/>
      </c>
      <c r="BL362" s="34" t="str">
        <f aca="false">IF(OR($AU362="",$AV362="",$AU362=0),"",$AV362/$AU362)</f>
        <v/>
      </c>
      <c r="BM362" s="7" t="str">
        <f aca="false">IF($Z362="","",IF(AND($Z362="Y",$AB362&lt;&gt;"N",$AC362&lt;&gt;"Y"),"Y","N"))</f>
        <v/>
      </c>
      <c r="BN362" s="7" t="str">
        <f aca="false">IF($AH362="","",IF($Z362&lt;&gt;"Y","undefined",IF($AH362&lt;=1,"Y","N")))</f>
        <v/>
      </c>
      <c r="BO362" s="7" t="str">
        <f aca="false">IF($AH362="","",IF($Z362&lt;&gt;"Y","undefined",IF($AH362&lt;=10,"Y","N")))</f>
        <v/>
      </c>
      <c r="BP362" s="7" t="str">
        <f aca="false">IF($AH362="","",IF($Z362&lt;&gt;"Y","undefined",IF($AH362&lt;=100,"Y","N")))</f>
        <v/>
      </c>
    </row>
    <row r="363" customFormat="false" ht="15" hidden="false" customHeight="false" outlineLevel="0" collapsed="false">
      <c r="A363" s="7" t="str">
        <f aca="false">IF($B363="","",$B363&amp;"|"&amp;$C363&amp;"|"&amp;$F363)</f>
        <v/>
      </c>
      <c r="B363" s="5"/>
      <c r="C363" s="5"/>
      <c r="D363" s="5"/>
      <c r="E363" s="5"/>
      <c r="F363" s="5"/>
      <c r="G363" s="5"/>
      <c r="H363" s="5"/>
      <c r="I363" s="5"/>
      <c r="J363" s="20"/>
      <c r="K363" s="20"/>
      <c r="L363" s="28"/>
      <c r="M363" s="20"/>
      <c r="N363" s="28"/>
      <c r="O363" s="19"/>
      <c r="P363" s="19"/>
      <c r="Q363" s="5"/>
      <c r="R363" s="19"/>
      <c r="S363" s="5"/>
      <c r="T363" s="20"/>
      <c r="U363" s="20"/>
      <c r="V363" s="29"/>
      <c r="W363" s="28"/>
      <c r="X363" s="19"/>
      <c r="Y363" s="19"/>
      <c r="Z363" s="5"/>
      <c r="AA363" s="19"/>
      <c r="AB363" s="5"/>
      <c r="AC363" s="5"/>
      <c r="AD363" s="5"/>
      <c r="AE363" s="5"/>
      <c r="AF363" s="30"/>
      <c r="AG363" s="30"/>
      <c r="AH363" s="30"/>
      <c r="AI363" s="30"/>
      <c r="AJ363" s="30"/>
      <c r="AK363" s="30"/>
      <c r="AL363" s="28"/>
      <c r="AM363" s="5"/>
      <c r="AN363" s="19"/>
      <c r="AO363" s="19"/>
      <c r="AP363" s="5"/>
      <c r="AQ363" s="5"/>
      <c r="AR363" s="5"/>
      <c r="AS363" s="5"/>
      <c r="AT363" s="5"/>
      <c r="AU363" s="19"/>
      <c r="AV363" s="19"/>
      <c r="AW363" s="5"/>
      <c r="AX363" s="5"/>
      <c r="AY363" s="19"/>
      <c r="AZ363" s="30"/>
      <c r="BA363" s="5"/>
      <c r="BB363" s="31" t="str">
        <f aca="false">IF(OR($T363="",$M363=""),"",$T363-$M363)</f>
        <v/>
      </c>
      <c r="BC363" s="32" t="str">
        <f aca="false">IF(OR($T363="",$M363="",$M363=0),"",($T363-$M363)/$M363)</f>
        <v/>
      </c>
      <c r="BD363" s="31" t="str">
        <f aca="false">IF(OR($U363="",$M363=""),"",$U363-$M363)</f>
        <v/>
      </c>
      <c r="BE363" s="32" t="str">
        <f aca="false">IF(OR($U363="",$M363="",$M363=0),"",($U363-$M363)/$M363)</f>
        <v/>
      </c>
      <c r="BF363" s="32" t="str">
        <f aca="false">IF(OR($U363="",$J363="",$J363=0),"",($U363-$J363)/$J363)</f>
        <v/>
      </c>
      <c r="BG363" s="32" t="str">
        <f aca="false">IF(OR($M363="",$K363="",$K363=0),"",($M363-$K363)/$K363)</f>
        <v/>
      </c>
      <c r="BH363" s="32" t="str">
        <f aca="false">IF(OR($W363="",$N363="",$N363=0),"",($W363-$N363)/$N363)</f>
        <v/>
      </c>
      <c r="BI363" s="33" t="str">
        <f aca="false">IF(OR($O363="",$X363=""),"",$O363-$X363)</f>
        <v/>
      </c>
      <c r="BJ363" s="33" t="str">
        <f aca="false">IF(OR($P363="",$Y363=""),"",$P363-$Y363)</f>
        <v/>
      </c>
      <c r="BK363" s="34" t="str">
        <f aca="false">IF(OR($AN363="",$AO363="",$AN363=0),"",$AO363/$AN363)</f>
        <v/>
      </c>
      <c r="BL363" s="34" t="str">
        <f aca="false">IF(OR($AU363="",$AV363="",$AU363=0),"",$AV363/$AU363)</f>
        <v/>
      </c>
      <c r="BM363" s="7" t="str">
        <f aca="false">IF($Z363="","",IF(AND($Z363="Y",$AB363&lt;&gt;"N",$AC363&lt;&gt;"Y"),"Y","N"))</f>
        <v/>
      </c>
      <c r="BN363" s="7" t="str">
        <f aca="false">IF($AH363="","",IF($Z363&lt;&gt;"Y","undefined",IF($AH363&lt;=1,"Y","N")))</f>
        <v/>
      </c>
      <c r="BO363" s="7" t="str">
        <f aca="false">IF($AH363="","",IF($Z363&lt;&gt;"Y","undefined",IF($AH363&lt;=10,"Y","N")))</f>
        <v/>
      </c>
      <c r="BP363" s="7" t="str">
        <f aca="false">IF($AH363="","",IF($Z363&lt;&gt;"Y","undefined",IF($AH363&lt;=100,"Y","N")))</f>
        <v/>
      </c>
    </row>
    <row r="364" customFormat="false" ht="15" hidden="false" customHeight="false" outlineLevel="0" collapsed="false">
      <c r="A364" s="7" t="str">
        <f aca="false">IF($B364="","",$B364&amp;"|"&amp;$C364&amp;"|"&amp;$F364)</f>
        <v/>
      </c>
      <c r="B364" s="5"/>
      <c r="C364" s="5"/>
      <c r="D364" s="5"/>
      <c r="E364" s="5"/>
      <c r="F364" s="5"/>
      <c r="G364" s="5"/>
      <c r="H364" s="5"/>
      <c r="I364" s="5"/>
      <c r="J364" s="20"/>
      <c r="K364" s="20"/>
      <c r="L364" s="28"/>
      <c r="M364" s="20"/>
      <c r="N364" s="28"/>
      <c r="O364" s="19"/>
      <c r="P364" s="19"/>
      <c r="Q364" s="5"/>
      <c r="R364" s="19"/>
      <c r="S364" s="5"/>
      <c r="T364" s="20"/>
      <c r="U364" s="20"/>
      <c r="V364" s="29"/>
      <c r="W364" s="28"/>
      <c r="X364" s="19"/>
      <c r="Y364" s="19"/>
      <c r="Z364" s="5"/>
      <c r="AA364" s="19"/>
      <c r="AB364" s="5"/>
      <c r="AC364" s="5"/>
      <c r="AD364" s="5"/>
      <c r="AE364" s="5"/>
      <c r="AF364" s="30"/>
      <c r="AG364" s="30"/>
      <c r="AH364" s="30"/>
      <c r="AI364" s="30"/>
      <c r="AJ364" s="30"/>
      <c r="AK364" s="30"/>
      <c r="AL364" s="28"/>
      <c r="AM364" s="5"/>
      <c r="AN364" s="19"/>
      <c r="AO364" s="19"/>
      <c r="AP364" s="5"/>
      <c r="AQ364" s="5"/>
      <c r="AR364" s="5"/>
      <c r="AS364" s="5"/>
      <c r="AT364" s="5"/>
      <c r="AU364" s="19"/>
      <c r="AV364" s="19"/>
      <c r="AW364" s="5"/>
      <c r="AX364" s="5"/>
      <c r="AY364" s="19"/>
      <c r="AZ364" s="30"/>
      <c r="BA364" s="5"/>
      <c r="BB364" s="31" t="str">
        <f aca="false">IF(OR($T364="",$M364=""),"",$T364-$M364)</f>
        <v/>
      </c>
      <c r="BC364" s="32" t="str">
        <f aca="false">IF(OR($T364="",$M364="",$M364=0),"",($T364-$M364)/$M364)</f>
        <v/>
      </c>
      <c r="BD364" s="31" t="str">
        <f aca="false">IF(OR($U364="",$M364=""),"",$U364-$M364)</f>
        <v/>
      </c>
      <c r="BE364" s="32" t="str">
        <f aca="false">IF(OR($U364="",$M364="",$M364=0),"",($U364-$M364)/$M364)</f>
        <v/>
      </c>
      <c r="BF364" s="32" t="str">
        <f aca="false">IF(OR($U364="",$J364="",$J364=0),"",($U364-$J364)/$J364)</f>
        <v/>
      </c>
      <c r="BG364" s="32" t="str">
        <f aca="false">IF(OR($M364="",$K364="",$K364=0),"",($M364-$K364)/$K364)</f>
        <v/>
      </c>
      <c r="BH364" s="32" t="str">
        <f aca="false">IF(OR($W364="",$N364="",$N364=0),"",($W364-$N364)/$N364)</f>
        <v/>
      </c>
      <c r="BI364" s="33" t="str">
        <f aca="false">IF(OR($O364="",$X364=""),"",$O364-$X364)</f>
        <v/>
      </c>
      <c r="BJ364" s="33" t="str">
        <f aca="false">IF(OR($P364="",$Y364=""),"",$P364-$Y364)</f>
        <v/>
      </c>
      <c r="BK364" s="34" t="str">
        <f aca="false">IF(OR($AN364="",$AO364="",$AN364=0),"",$AO364/$AN364)</f>
        <v/>
      </c>
      <c r="BL364" s="34" t="str">
        <f aca="false">IF(OR($AU364="",$AV364="",$AU364=0),"",$AV364/$AU364)</f>
        <v/>
      </c>
      <c r="BM364" s="7" t="str">
        <f aca="false">IF($Z364="","",IF(AND($Z364="Y",$AB364&lt;&gt;"N",$AC364&lt;&gt;"Y"),"Y","N"))</f>
        <v/>
      </c>
      <c r="BN364" s="7" t="str">
        <f aca="false">IF($AH364="","",IF($Z364&lt;&gt;"Y","undefined",IF($AH364&lt;=1,"Y","N")))</f>
        <v/>
      </c>
      <c r="BO364" s="7" t="str">
        <f aca="false">IF($AH364="","",IF($Z364&lt;&gt;"Y","undefined",IF($AH364&lt;=10,"Y","N")))</f>
        <v/>
      </c>
      <c r="BP364" s="7" t="str">
        <f aca="false">IF($AH364="","",IF($Z364&lt;&gt;"Y","undefined",IF($AH364&lt;=100,"Y","N")))</f>
        <v/>
      </c>
    </row>
    <row r="365" customFormat="false" ht="15" hidden="false" customHeight="false" outlineLevel="0" collapsed="false">
      <c r="A365" s="7" t="str">
        <f aca="false">IF($B365="","",$B365&amp;"|"&amp;$C365&amp;"|"&amp;$F365)</f>
        <v/>
      </c>
      <c r="B365" s="5"/>
      <c r="C365" s="5"/>
      <c r="D365" s="5"/>
      <c r="E365" s="5"/>
      <c r="F365" s="5"/>
      <c r="G365" s="5"/>
      <c r="H365" s="5"/>
      <c r="I365" s="5"/>
      <c r="J365" s="20"/>
      <c r="K365" s="20"/>
      <c r="L365" s="28"/>
      <c r="M365" s="20"/>
      <c r="N365" s="28"/>
      <c r="O365" s="19"/>
      <c r="P365" s="19"/>
      <c r="Q365" s="5"/>
      <c r="R365" s="19"/>
      <c r="S365" s="5"/>
      <c r="T365" s="20"/>
      <c r="U365" s="20"/>
      <c r="V365" s="29"/>
      <c r="W365" s="28"/>
      <c r="X365" s="19"/>
      <c r="Y365" s="19"/>
      <c r="Z365" s="5"/>
      <c r="AA365" s="19"/>
      <c r="AB365" s="5"/>
      <c r="AC365" s="5"/>
      <c r="AD365" s="5"/>
      <c r="AE365" s="5"/>
      <c r="AF365" s="30"/>
      <c r="AG365" s="30"/>
      <c r="AH365" s="30"/>
      <c r="AI365" s="30"/>
      <c r="AJ365" s="30"/>
      <c r="AK365" s="30"/>
      <c r="AL365" s="28"/>
      <c r="AM365" s="5"/>
      <c r="AN365" s="19"/>
      <c r="AO365" s="19"/>
      <c r="AP365" s="5"/>
      <c r="AQ365" s="5"/>
      <c r="AR365" s="5"/>
      <c r="AS365" s="5"/>
      <c r="AT365" s="5"/>
      <c r="AU365" s="19"/>
      <c r="AV365" s="19"/>
      <c r="AW365" s="5"/>
      <c r="AX365" s="5"/>
      <c r="AY365" s="19"/>
      <c r="AZ365" s="30"/>
      <c r="BA365" s="5"/>
      <c r="BB365" s="31" t="str">
        <f aca="false">IF(OR($T365="",$M365=""),"",$T365-$M365)</f>
        <v/>
      </c>
      <c r="BC365" s="32" t="str">
        <f aca="false">IF(OR($T365="",$M365="",$M365=0),"",($T365-$M365)/$M365)</f>
        <v/>
      </c>
      <c r="BD365" s="31" t="str">
        <f aca="false">IF(OR($U365="",$M365=""),"",$U365-$M365)</f>
        <v/>
      </c>
      <c r="BE365" s="32" t="str">
        <f aca="false">IF(OR($U365="",$M365="",$M365=0),"",($U365-$M365)/$M365)</f>
        <v/>
      </c>
      <c r="BF365" s="32" t="str">
        <f aca="false">IF(OR($U365="",$J365="",$J365=0),"",($U365-$J365)/$J365)</f>
        <v/>
      </c>
      <c r="BG365" s="32" t="str">
        <f aca="false">IF(OR($M365="",$K365="",$K365=0),"",($M365-$K365)/$K365)</f>
        <v/>
      </c>
      <c r="BH365" s="32" t="str">
        <f aca="false">IF(OR($W365="",$N365="",$N365=0),"",($W365-$N365)/$N365)</f>
        <v/>
      </c>
      <c r="BI365" s="33" t="str">
        <f aca="false">IF(OR($O365="",$X365=""),"",$O365-$X365)</f>
        <v/>
      </c>
      <c r="BJ365" s="33" t="str">
        <f aca="false">IF(OR($P365="",$Y365=""),"",$P365-$Y365)</f>
        <v/>
      </c>
      <c r="BK365" s="34" t="str">
        <f aca="false">IF(OR($AN365="",$AO365="",$AN365=0),"",$AO365/$AN365)</f>
        <v/>
      </c>
      <c r="BL365" s="34" t="str">
        <f aca="false">IF(OR($AU365="",$AV365="",$AU365=0),"",$AV365/$AU365)</f>
        <v/>
      </c>
      <c r="BM365" s="7" t="str">
        <f aca="false">IF($Z365="","",IF(AND($Z365="Y",$AB365&lt;&gt;"N",$AC365&lt;&gt;"Y"),"Y","N"))</f>
        <v/>
      </c>
      <c r="BN365" s="7" t="str">
        <f aca="false">IF($AH365="","",IF($Z365&lt;&gt;"Y","undefined",IF($AH365&lt;=1,"Y","N")))</f>
        <v/>
      </c>
      <c r="BO365" s="7" t="str">
        <f aca="false">IF($AH365="","",IF($Z365&lt;&gt;"Y","undefined",IF($AH365&lt;=10,"Y","N")))</f>
        <v/>
      </c>
      <c r="BP365" s="7" t="str">
        <f aca="false">IF($AH365="","",IF($Z365&lt;&gt;"Y","undefined",IF($AH365&lt;=100,"Y","N")))</f>
        <v/>
      </c>
    </row>
    <row r="366" customFormat="false" ht="15" hidden="false" customHeight="false" outlineLevel="0" collapsed="false">
      <c r="A366" s="7" t="str">
        <f aca="false">IF($B366="","",$B366&amp;"|"&amp;$C366&amp;"|"&amp;$F366)</f>
        <v/>
      </c>
      <c r="B366" s="5"/>
      <c r="C366" s="5"/>
      <c r="D366" s="5"/>
      <c r="E366" s="5"/>
      <c r="F366" s="5"/>
      <c r="G366" s="5"/>
      <c r="H366" s="5"/>
      <c r="I366" s="5"/>
      <c r="J366" s="20"/>
      <c r="K366" s="20"/>
      <c r="L366" s="28"/>
      <c r="M366" s="20"/>
      <c r="N366" s="28"/>
      <c r="O366" s="19"/>
      <c r="P366" s="19"/>
      <c r="Q366" s="5"/>
      <c r="R366" s="19"/>
      <c r="S366" s="5"/>
      <c r="T366" s="20"/>
      <c r="U366" s="20"/>
      <c r="V366" s="29"/>
      <c r="W366" s="28"/>
      <c r="X366" s="19"/>
      <c r="Y366" s="19"/>
      <c r="Z366" s="5"/>
      <c r="AA366" s="19"/>
      <c r="AB366" s="5"/>
      <c r="AC366" s="5"/>
      <c r="AD366" s="5"/>
      <c r="AE366" s="5"/>
      <c r="AF366" s="30"/>
      <c r="AG366" s="30"/>
      <c r="AH366" s="30"/>
      <c r="AI366" s="30"/>
      <c r="AJ366" s="30"/>
      <c r="AK366" s="30"/>
      <c r="AL366" s="28"/>
      <c r="AM366" s="5"/>
      <c r="AN366" s="19"/>
      <c r="AO366" s="19"/>
      <c r="AP366" s="5"/>
      <c r="AQ366" s="5"/>
      <c r="AR366" s="5"/>
      <c r="AS366" s="5"/>
      <c r="AT366" s="5"/>
      <c r="AU366" s="19"/>
      <c r="AV366" s="19"/>
      <c r="AW366" s="5"/>
      <c r="AX366" s="5"/>
      <c r="AY366" s="19"/>
      <c r="AZ366" s="30"/>
      <c r="BA366" s="5"/>
      <c r="BB366" s="31" t="str">
        <f aca="false">IF(OR($T366="",$M366=""),"",$T366-$M366)</f>
        <v/>
      </c>
      <c r="BC366" s="32" t="str">
        <f aca="false">IF(OR($T366="",$M366="",$M366=0),"",($T366-$M366)/$M366)</f>
        <v/>
      </c>
      <c r="BD366" s="31" t="str">
        <f aca="false">IF(OR($U366="",$M366=""),"",$U366-$M366)</f>
        <v/>
      </c>
      <c r="BE366" s="32" t="str">
        <f aca="false">IF(OR($U366="",$M366="",$M366=0),"",($U366-$M366)/$M366)</f>
        <v/>
      </c>
      <c r="BF366" s="32" t="str">
        <f aca="false">IF(OR($U366="",$J366="",$J366=0),"",($U366-$J366)/$J366)</f>
        <v/>
      </c>
      <c r="BG366" s="32" t="str">
        <f aca="false">IF(OR($M366="",$K366="",$K366=0),"",($M366-$K366)/$K366)</f>
        <v/>
      </c>
      <c r="BH366" s="32" t="str">
        <f aca="false">IF(OR($W366="",$N366="",$N366=0),"",($W366-$N366)/$N366)</f>
        <v/>
      </c>
      <c r="BI366" s="33" t="str">
        <f aca="false">IF(OR($O366="",$X366=""),"",$O366-$X366)</f>
        <v/>
      </c>
      <c r="BJ366" s="33" t="str">
        <f aca="false">IF(OR($P366="",$Y366=""),"",$P366-$Y366)</f>
        <v/>
      </c>
      <c r="BK366" s="34" t="str">
        <f aca="false">IF(OR($AN366="",$AO366="",$AN366=0),"",$AO366/$AN366)</f>
        <v/>
      </c>
      <c r="BL366" s="34" t="str">
        <f aca="false">IF(OR($AU366="",$AV366="",$AU366=0),"",$AV366/$AU366)</f>
        <v/>
      </c>
      <c r="BM366" s="7" t="str">
        <f aca="false">IF($Z366="","",IF(AND($Z366="Y",$AB366&lt;&gt;"N",$AC366&lt;&gt;"Y"),"Y","N"))</f>
        <v/>
      </c>
      <c r="BN366" s="7" t="str">
        <f aca="false">IF($AH366="","",IF($Z366&lt;&gt;"Y","undefined",IF($AH366&lt;=1,"Y","N")))</f>
        <v/>
      </c>
      <c r="BO366" s="7" t="str">
        <f aca="false">IF($AH366="","",IF($Z366&lt;&gt;"Y","undefined",IF($AH366&lt;=10,"Y","N")))</f>
        <v/>
      </c>
      <c r="BP366" s="7" t="str">
        <f aca="false">IF($AH366="","",IF($Z366&lt;&gt;"Y","undefined",IF($AH366&lt;=100,"Y","N")))</f>
        <v/>
      </c>
    </row>
    <row r="367" customFormat="false" ht="15" hidden="false" customHeight="false" outlineLevel="0" collapsed="false">
      <c r="A367" s="7" t="str">
        <f aca="false">IF($B367="","",$B367&amp;"|"&amp;$C367&amp;"|"&amp;$F367)</f>
        <v/>
      </c>
      <c r="B367" s="5"/>
      <c r="C367" s="5"/>
      <c r="D367" s="5"/>
      <c r="E367" s="5"/>
      <c r="F367" s="5"/>
      <c r="G367" s="5"/>
      <c r="H367" s="5"/>
      <c r="I367" s="5"/>
      <c r="J367" s="20"/>
      <c r="K367" s="20"/>
      <c r="L367" s="28"/>
      <c r="M367" s="20"/>
      <c r="N367" s="28"/>
      <c r="O367" s="19"/>
      <c r="P367" s="19"/>
      <c r="Q367" s="5"/>
      <c r="R367" s="19"/>
      <c r="S367" s="5"/>
      <c r="T367" s="20"/>
      <c r="U367" s="20"/>
      <c r="V367" s="29"/>
      <c r="W367" s="28"/>
      <c r="X367" s="19"/>
      <c r="Y367" s="19"/>
      <c r="Z367" s="5"/>
      <c r="AA367" s="19"/>
      <c r="AB367" s="5"/>
      <c r="AC367" s="5"/>
      <c r="AD367" s="5"/>
      <c r="AE367" s="5"/>
      <c r="AF367" s="30"/>
      <c r="AG367" s="30"/>
      <c r="AH367" s="30"/>
      <c r="AI367" s="30"/>
      <c r="AJ367" s="30"/>
      <c r="AK367" s="30"/>
      <c r="AL367" s="28"/>
      <c r="AM367" s="5"/>
      <c r="AN367" s="19"/>
      <c r="AO367" s="19"/>
      <c r="AP367" s="5"/>
      <c r="AQ367" s="5"/>
      <c r="AR367" s="5"/>
      <c r="AS367" s="5"/>
      <c r="AT367" s="5"/>
      <c r="AU367" s="19"/>
      <c r="AV367" s="19"/>
      <c r="AW367" s="5"/>
      <c r="AX367" s="5"/>
      <c r="AY367" s="19"/>
      <c r="AZ367" s="30"/>
      <c r="BA367" s="5"/>
      <c r="BB367" s="31" t="str">
        <f aca="false">IF(OR($T367="",$M367=""),"",$T367-$M367)</f>
        <v/>
      </c>
      <c r="BC367" s="32" t="str">
        <f aca="false">IF(OR($T367="",$M367="",$M367=0),"",($T367-$M367)/$M367)</f>
        <v/>
      </c>
      <c r="BD367" s="31" t="str">
        <f aca="false">IF(OR($U367="",$M367=""),"",$U367-$M367)</f>
        <v/>
      </c>
      <c r="BE367" s="32" t="str">
        <f aca="false">IF(OR($U367="",$M367="",$M367=0),"",($U367-$M367)/$M367)</f>
        <v/>
      </c>
      <c r="BF367" s="32" t="str">
        <f aca="false">IF(OR($U367="",$J367="",$J367=0),"",($U367-$J367)/$J367)</f>
        <v/>
      </c>
      <c r="BG367" s="32" t="str">
        <f aca="false">IF(OR($M367="",$K367="",$K367=0),"",($M367-$K367)/$K367)</f>
        <v/>
      </c>
      <c r="BH367" s="32" t="str">
        <f aca="false">IF(OR($W367="",$N367="",$N367=0),"",($W367-$N367)/$N367)</f>
        <v/>
      </c>
      <c r="BI367" s="33" t="str">
        <f aca="false">IF(OR($O367="",$X367=""),"",$O367-$X367)</f>
        <v/>
      </c>
      <c r="BJ367" s="33" t="str">
        <f aca="false">IF(OR($P367="",$Y367=""),"",$P367-$Y367)</f>
        <v/>
      </c>
      <c r="BK367" s="34" t="str">
        <f aca="false">IF(OR($AN367="",$AO367="",$AN367=0),"",$AO367/$AN367)</f>
        <v/>
      </c>
      <c r="BL367" s="34" t="str">
        <f aca="false">IF(OR($AU367="",$AV367="",$AU367=0),"",$AV367/$AU367)</f>
        <v/>
      </c>
      <c r="BM367" s="7" t="str">
        <f aca="false">IF($Z367="","",IF(AND($Z367="Y",$AB367&lt;&gt;"N",$AC367&lt;&gt;"Y"),"Y","N"))</f>
        <v/>
      </c>
      <c r="BN367" s="7" t="str">
        <f aca="false">IF($AH367="","",IF($Z367&lt;&gt;"Y","undefined",IF($AH367&lt;=1,"Y","N")))</f>
        <v/>
      </c>
      <c r="BO367" s="7" t="str">
        <f aca="false">IF($AH367="","",IF($Z367&lt;&gt;"Y","undefined",IF($AH367&lt;=10,"Y","N")))</f>
        <v/>
      </c>
      <c r="BP367" s="7" t="str">
        <f aca="false">IF($AH367="","",IF($Z367&lt;&gt;"Y","undefined",IF($AH367&lt;=100,"Y","N")))</f>
        <v/>
      </c>
    </row>
    <row r="368" customFormat="false" ht="15" hidden="false" customHeight="false" outlineLevel="0" collapsed="false">
      <c r="A368" s="7" t="str">
        <f aca="false">IF($B368="","",$B368&amp;"|"&amp;$C368&amp;"|"&amp;$F368)</f>
        <v/>
      </c>
      <c r="B368" s="5"/>
      <c r="C368" s="5"/>
      <c r="D368" s="5"/>
      <c r="E368" s="5"/>
      <c r="F368" s="5"/>
      <c r="G368" s="5"/>
      <c r="H368" s="5"/>
      <c r="I368" s="5"/>
      <c r="J368" s="20"/>
      <c r="K368" s="20"/>
      <c r="L368" s="28"/>
      <c r="M368" s="20"/>
      <c r="N368" s="28"/>
      <c r="O368" s="19"/>
      <c r="P368" s="19"/>
      <c r="Q368" s="5"/>
      <c r="R368" s="19"/>
      <c r="S368" s="5"/>
      <c r="T368" s="20"/>
      <c r="U368" s="20"/>
      <c r="V368" s="29"/>
      <c r="W368" s="28"/>
      <c r="X368" s="19"/>
      <c r="Y368" s="19"/>
      <c r="Z368" s="5"/>
      <c r="AA368" s="19"/>
      <c r="AB368" s="5"/>
      <c r="AC368" s="5"/>
      <c r="AD368" s="5"/>
      <c r="AE368" s="5"/>
      <c r="AF368" s="30"/>
      <c r="AG368" s="30"/>
      <c r="AH368" s="30"/>
      <c r="AI368" s="30"/>
      <c r="AJ368" s="30"/>
      <c r="AK368" s="30"/>
      <c r="AL368" s="28"/>
      <c r="AM368" s="5"/>
      <c r="AN368" s="19"/>
      <c r="AO368" s="19"/>
      <c r="AP368" s="5"/>
      <c r="AQ368" s="5"/>
      <c r="AR368" s="5"/>
      <c r="AS368" s="5"/>
      <c r="AT368" s="5"/>
      <c r="AU368" s="19"/>
      <c r="AV368" s="19"/>
      <c r="AW368" s="5"/>
      <c r="AX368" s="5"/>
      <c r="AY368" s="19"/>
      <c r="AZ368" s="30"/>
      <c r="BA368" s="5"/>
      <c r="BB368" s="31" t="str">
        <f aca="false">IF(OR($T368="",$M368=""),"",$T368-$M368)</f>
        <v/>
      </c>
      <c r="BC368" s="32" t="str">
        <f aca="false">IF(OR($T368="",$M368="",$M368=0),"",($T368-$M368)/$M368)</f>
        <v/>
      </c>
      <c r="BD368" s="31" t="str">
        <f aca="false">IF(OR($U368="",$M368=""),"",$U368-$M368)</f>
        <v/>
      </c>
      <c r="BE368" s="32" t="str">
        <f aca="false">IF(OR($U368="",$M368="",$M368=0),"",($U368-$M368)/$M368)</f>
        <v/>
      </c>
      <c r="BF368" s="32" t="str">
        <f aca="false">IF(OR($U368="",$J368="",$J368=0),"",($U368-$J368)/$J368)</f>
        <v/>
      </c>
      <c r="BG368" s="32" t="str">
        <f aca="false">IF(OR($M368="",$K368="",$K368=0),"",($M368-$K368)/$K368)</f>
        <v/>
      </c>
      <c r="BH368" s="32" t="str">
        <f aca="false">IF(OR($W368="",$N368="",$N368=0),"",($W368-$N368)/$N368)</f>
        <v/>
      </c>
      <c r="BI368" s="33" t="str">
        <f aca="false">IF(OR($O368="",$X368=""),"",$O368-$X368)</f>
        <v/>
      </c>
      <c r="BJ368" s="33" t="str">
        <f aca="false">IF(OR($P368="",$Y368=""),"",$P368-$Y368)</f>
        <v/>
      </c>
      <c r="BK368" s="34" t="str">
        <f aca="false">IF(OR($AN368="",$AO368="",$AN368=0),"",$AO368/$AN368)</f>
        <v/>
      </c>
      <c r="BL368" s="34" t="str">
        <f aca="false">IF(OR($AU368="",$AV368="",$AU368=0),"",$AV368/$AU368)</f>
        <v/>
      </c>
      <c r="BM368" s="7" t="str">
        <f aca="false">IF($Z368="","",IF(AND($Z368="Y",$AB368&lt;&gt;"N",$AC368&lt;&gt;"Y"),"Y","N"))</f>
        <v/>
      </c>
      <c r="BN368" s="7" t="str">
        <f aca="false">IF($AH368="","",IF($Z368&lt;&gt;"Y","undefined",IF($AH368&lt;=1,"Y","N")))</f>
        <v/>
      </c>
      <c r="BO368" s="7" t="str">
        <f aca="false">IF($AH368="","",IF($Z368&lt;&gt;"Y","undefined",IF($AH368&lt;=10,"Y","N")))</f>
        <v/>
      </c>
      <c r="BP368" s="7" t="str">
        <f aca="false">IF($AH368="","",IF($Z368&lt;&gt;"Y","undefined",IF($AH368&lt;=100,"Y","N")))</f>
        <v/>
      </c>
    </row>
    <row r="369" customFormat="false" ht="15" hidden="false" customHeight="false" outlineLevel="0" collapsed="false">
      <c r="A369" s="7" t="str">
        <f aca="false">IF($B369="","",$B369&amp;"|"&amp;$C369&amp;"|"&amp;$F369)</f>
        <v/>
      </c>
      <c r="B369" s="5"/>
      <c r="C369" s="5"/>
      <c r="D369" s="5"/>
      <c r="E369" s="5"/>
      <c r="F369" s="5"/>
      <c r="G369" s="5"/>
      <c r="H369" s="5"/>
      <c r="I369" s="5"/>
      <c r="J369" s="20"/>
      <c r="K369" s="20"/>
      <c r="L369" s="28"/>
      <c r="M369" s="20"/>
      <c r="N369" s="28"/>
      <c r="O369" s="19"/>
      <c r="P369" s="19"/>
      <c r="Q369" s="5"/>
      <c r="R369" s="19"/>
      <c r="S369" s="5"/>
      <c r="T369" s="20"/>
      <c r="U369" s="20"/>
      <c r="V369" s="29"/>
      <c r="W369" s="28"/>
      <c r="X369" s="19"/>
      <c r="Y369" s="19"/>
      <c r="Z369" s="5"/>
      <c r="AA369" s="19"/>
      <c r="AB369" s="5"/>
      <c r="AC369" s="5"/>
      <c r="AD369" s="5"/>
      <c r="AE369" s="5"/>
      <c r="AF369" s="30"/>
      <c r="AG369" s="30"/>
      <c r="AH369" s="30"/>
      <c r="AI369" s="30"/>
      <c r="AJ369" s="30"/>
      <c r="AK369" s="30"/>
      <c r="AL369" s="28"/>
      <c r="AM369" s="5"/>
      <c r="AN369" s="19"/>
      <c r="AO369" s="19"/>
      <c r="AP369" s="5"/>
      <c r="AQ369" s="5"/>
      <c r="AR369" s="5"/>
      <c r="AS369" s="5"/>
      <c r="AT369" s="5"/>
      <c r="AU369" s="19"/>
      <c r="AV369" s="19"/>
      <c r="AW369" s="5"/>
      <c r="AX369" s="5"/>
      <c r="AY369" s="19"/>
      <c r="AZ369" s="30"/>
      <c r="BA369" s="5"/>
      <c r="BB369" s="31" t="str">
        <f aca="false">IF(OR($T369="",$M369=""),"",$T369-$M369)</f>
        <v/>
      </c>
      <c r="BC369" s="32" t="str">
        <f aca="false">IF(OR($T369="",$M369="",$M369=0),"",($T369-$M369)/$M369)</f>
        <v/>
      </c>
      <c r="BD369" s="31" t="str">
        <f aca="false">IF(OR($U369="",$M369=""),"",$U369-$M369)</f>
        <v/>
      </c>
      <c r="BE369" s="32" t="str">
        <f aca="false">IF(OR($U369="",$M369="",$M369=0),"",($U369-$M369)/$M369)</f>
        <v/>
      </c>
      <c r="BF369" s="32" t="str">
        <f aca="false">IF(OR($U369="",$J369="",$J369=0),"",($U369-$J369)/$J369)</f>
        <v/>
      </c>
      <c r="BG369" s="32" t="str">
        <f aca="false">IF(OR($M369="",$K369="",$K369=0),"",($M369-$K369)/$K369)</f>
        <v/>
      </c>
      <c r="BH369" s="32" t="str">
        <f aca="false">IF(OR($W369="",$N369="",$N369=0),"",($W369-$N369)/$N369)</f>
        <v/>
      </c>
      <c r="BI369" s="33" t="str">
        <f aca="false">IF(OR($O369="",$X369=""),"",$O369-$X369)</f>
        <v/>
      </c>
      <c r="BJ369" s="33" t="str">
        <f aca="false">IF(OR($P369="",$Y369=""),"",$P369-$Y369)</f>
        <v/>
      </c>
      <c r="BK369" s="34" t="str">
        <f aca="false">IF(OR($AN369="",$AO369="",$AN369=0),"",$AO369/$AN369)</f>
        <v/>
      </c>
      <c r="BL369" s="34" t="str">
        <f aca="false">IF(OR($AU369="",$AV369="",$AU369=0),"",$AV369/$AU369)</f>
        <v/>
      </c>
      <c r="BM369" s="7" t="str">
        <f aca="false">IF($Z369="","",IF(AND($Z369="Y",$AB369&lt;&gt;"N",$AC369&lt;&gt;"Y"),"Y","N"))</f>
        <v/>
      </c>
      <c r="BN369" s="7" t="str">
        <f aca="false">IF($AH369="","",IF($Z369&lt;&gt;"Y","undefined",IF($AH369&lt;=1,"Y","N")))</f>
        <v/>
      </c>
      <c r="BO369" s="7" t="str">
        <f aca="false">IF($AH369="","",IF($Z369&lt;&gt;"Y","undefined",IF($AH369&lt;=10,"Y","N")))</f>
        <v/>
      </c>
      <c r="BP369" s="7" t="str">
        <f aca="false">IF($AH369="","",IF($Z369&lt;&gt;"Y","undefined",IF($AH369&lt;=100,"Y","N")))</f>
        <v/>
      </c>
    </row>
    <row r="370" customFormat="false" ht="15" hidden="false" customHeight="false" outlineLevel="0" collapsed="false">
      <c r="A370" s="7" t="str">
        <f aca="false">IF($B370="","",$B370&amp;"|"&amp;$C370&amp;"|"&amp;$F370)</f>
        <v/>
      </c>
      <c r="B370" s="5"/>
      <c r="C370" s="5"/>
      <c r="D370" s="5"/>
      <c r="E370" s="5"/>
      <c r="F370" s="5"/>
      <c r="G370" s="5"/>
      <c r="H370" s="5"/>
      <c r="I370" s="5"/>
      <c r="J370" s="20"/>
      <c r="K370" s="20"/>
      <c r="L370" s="28"/>
      <c r="M370" s="20"/>
      <c r="N370" s="28"/>
      <c r="O370" s="19"/>
      <c r="P370" s="19"/>
      <c r="Q370" s="5"/>
      <c r="R370" s="19"/>
      <c r="S370" s="5"/>
      <c r="T370" s="20"/>
      <c r="U370" s="20"/>
      <c r="V370" s="29"/>
      <c r="W370" s="28"/>
      <c r="X370" s="19"/>
      <c r="Y370" s="19"/>
      <c r="Z370" s="5"/>
      <c r="AA370" s="19"/>
      <c r="AB370" s="5"/>
      <c r="AC370" s="5"/>
      <c r="AD370" s="5"/>
      <c r="AE370" s="5"/>
      <c r="AF370" s="30"/>
      <c r="AG370" s="30"/>
      <c r="AH370" s="30"/>
      <c r="AI370" s="30"/>
      <c r="AJ370" s="30"/>
      <c r="AK370" s="30"/>
      <c r="AL370" s="28"/>
      <c r="AM370" s="5"/>
      <c r="AN370" s="19"/>
      <c r="AO370" s="19"/>
      <c r="AP370" s="5"/>
      <c r="AQ370" s="5"/>
      <c r="AR370" s="5"/>
      <c r="AS370" s="5"/>
      <c r="AT370" s="5"/>
      <c r="AU370" s="19"/>
      <c r="AV370" s="19"/>
      <c r="AW370" s="5"/>
      <c r="AX370" s="5"/>
      <c r="AY370" s="19"/>
      <c r="AZ370" s="30"/>
      <c r="BA370" s="5"/>
      <c r="BB370" s="31" t="str">
        <f aca="false">IF(OR($T370="",$M370=""),"",$T370-$M370)</f>
        <v/>
      </c>
      <c r="BC370" s="32" t="str">
        <f aca="false">IF(OR($T370="",$M370="",$M370=0),"",($T370-$M370)/$M370)</f>
        <v/>
      </c>
      <c r="BD370" s="31" t="str">
        <f aca="false">IF(OR($U370="",$M370=""),"",$U370-$M370)</f>
        <v/>
      </c>
      <c r="BE370" s="32" t="str">
        <f aca="false">IF(OR($U370="",$M370="",$M370=0),"",($U370-$M370)/$M370)</f>
        <v/>
      </c>
      <c r="BF370" s="32" t="str">
        <f aca="false">IF(OR($U370="",$J370="",$J370=0),"",($U370-$J370)/$J370)</f>
        <v/>
      </c>
      <c r="BG370" s="32" t="str">
        <f aca="false">IF(OR($M370="",$K370="",$K370=0),"",($M370-$K370)/$K370)</f>
        <v/>
      </c>
      <c r="BH370" s="32" t="str">
        <f aca="false">IF(OR($W370="",$N370="",$N370=0),"",($W370-$N370)/$N370)</f>
        <v/>
      </c>
      <c r="BI370" s="33" t="str">
        <f aca="false">IF(OR($O370="",$X370=""),"",$O370-$X370)</f>
        <v/>
      </c>
      <c r="BJ370" s="33" t="str">
        <f aca="false">IF(OR($P370="",$Y370=""),"",$P370-$Y370)</f>
        <v/>
      </c>
      <c r="BK370" s="34" t="str">
        <f aca="false">IF(OR($AN370="",$AO370="",$AN370=0),"",$AO370/$AN370)</f>
        <v/>
      </c>
      <c r="BL370" s="34" t="str">
        <f aca="false">IF(OR($AU370="",$AV370="",$AU370=0),"",$AV370/$AU370)</f>
        <v/>
      </c>
      <c r="BM370" s="7" t="str">
        <f aca="false">IF($Z370="","",IF(AND($Z370="Y",$AB370&lt;&gt;"N",$AC370&lt;&gt;"Y"),"Y","N"))</f>
        <v/>
      </c>
      <c r="BN370" s="7" t="str">
        <f aca="false">IF($AH370="","",IF($Z370&lt;&gt;"Y","undefined",IF($AH370&lt;=1,"Y","N")))</f>
        <v/>
      </c>
      <c r="BO370" s="7" t="str">
        <f aca="false">IF($AH370="","",IF($Z370&lt;&gt;"Y","undefined",IF($AH370&lt;=10,"Y","N")))</f>
        <v/>
      </c>
      <c r="BP370" s="7" t="str">
        <f aca="false">IF($AH370="","",IF($Z370&lt;&gt;"Y","undefined",IF($AH370&lt;=100,"Y","N")))</f>
        <v/>
      </c>
    </row>
    <row r="371" customFormat="false" ht="15" hidden="false" customHeight="false" outlineLevel="0" collapsed="false">
      <c r="A371" s="7" t="str">
        <f aca="false">IF($B371="","",$B371&amp;"|"&amp;$C371&amp;"|"&amp;$F371)</f>
        <v/>
      </c>
      <c r="B371" s="5"/>
      <c r="C371" s="5"/>
      <c r="D371" s="5"/>
      <c r="E371" s="5"/>
      <c r="F371" s="5"/>
      <c r="G371" s="5"/>
      <c r="H371" s="5"/>
      <c r="I371" s="5"/>
      <c r="J371" s="20"/>
      <c r="K371" s="20"/>
      <c r="L371" s="28"/>
      <c r="M371" s="20"/>
      <c r="N371" s="28"/>
      <c r="O371" s="19"/>
      <c r="P371" s="19"/>
      <c r="Q371" s="5"/>
      <c r="R371" s="19"/>
      <c r="S371" s="5"/>
      <c r="T371" s="20"/>
      <c r="U371" s="20"/>
      <c r="V371" s="29"/>
      <c r="W371" s="28"/>
      <c r="X371" s="19"/>
      <c r="Y371" s="19"/>
      <c r="Z371" s="5"/>
      <c r="AA371" s="19"/>
      <c r="AB371" s="5"/>
      <c r="AC371" s="5"/>
      <c r="AD371" s="5"/>
      <c r="AE371" s="5"/>
      <c r="AF371" s="30"/>
      <c r="AG371" s="30"/>
      <c r="AH371" s="30"/>
      <c r="AI371" s="30"/>
      <c r="AJ371" s="30"/>
      <c r="AK371" s="30"/>
      <c r="AL371" s="28"/>
      <c r="AM371" s="5"/>
      <c r="AN371" s="19"/>
      <c r="AO371" s="19"/>
      <c r="AP371" s="5"/>
      <c r="AQ371" s="5"/>
      <c r="AR371" s="5"/>
      <c r="AS371" s="5"/>
      <c r="AT371" s="5"/>
      <c r="AU371" s="19"/>
      <c r="AV371" s="19"/>
      <c r="AW371" s="5"/>
      <c r="AX371" s="5"/>
      <c r="AY371" s="19"/>
      <c r="AZ371" s="30"/>
      <c r="BA371" s="5"/>
      <c r="BB371" s="31" t="str">
        <f aca="false">IF(OR($T371="",$M371=""),"",$T371-$M371)</f>
        <v/>
      </c>
      <c r="BC371" s="32" t="str">
        <f aca="false">IF(OR($T371="",$M371="",$M371=0),"",($T371-$M371)/$M371)</f>
        <v/>
      </c>
      <c r="BD371" s="31" t="str">
        <f aca="false">IF(OR($U371="",$M371=""),"",$U371-$M371)</f>
        <v/>
      </c>
      <c r="BE371" s="32" t="str">
        <f aca="false">IF(OR($U371="",$M371="",$M371=0),"",($U371-$M371)/$M371)</f>
        <v/>
      </c>
      <c r="BF371" s="32" t="str">
        <f aca="false">IF(OR($U371="",$J371="",$J371=0),"",($U371-$J371)/$J371)</f>
        <v/>
      </c>
      <c r="BG371" s="32" t="str">
        <f aca="false">IF(OR($M371="",$K371="",$K371=0),"",($M371-$K371)/$K371)</f>
        <v/>
      </c>
      <c r="BH371" s="32" t="str">
        <f aca="false">IF(OR($W371="",$N371="",$N371=0),"",($W371-$N371)/$N371)</f>
        <v/>
      </c>
      <c r="BI371" s="33" t="str">
        <f aca="false">IF(OR($O371="",$X371=""),"",$O371-$X371)</f>
        <v/>
      </c>
      <c r="BJ371" s="33" t="str">
        <f aca="false">IF(OR($P371="",$Y371=""),"",$P371-$Y371)</f>
        <v/>
      </c>
      <c r="BK371" s="34" t="str">
        <f aca="false">IF(OR($AN371="",$AO371="",$AN371=0),"",$AO371/$AN371)</f>
        <v/>
      </c>
      <c r="BL371" s="34" t="str">
        <f aca="false">IF(OR($AU371="",$AV371="",$AU371=0),"",$AV371/$AU371)</f>
        <v/>
      </c>
      <c r="BM371" s="7" t="str">
        <f aca="false">IF($Z371="","",IF(AND($Z371="Y",$AB371&lt;&gt;"N",$AC371&lt;&gt;"Y"),"Y","N"))</f>
        <v/>
      </c>
      <c r="BN371" s="7" t="str">
        <f aca="false">IF($AH371="","",IF($Z371&lt;&gt;"Y","undefined",IF($AH371&lt;=1,"Y","N")))</f>
        <v/>
      </c>
      <c r="BO371" s="7" t="str">
        <f aca="false">IF($AH371="","",IF($Z371&lt;&gt;"Y","undefined",IF($AH371&lt;=10,"Y","N")))</f>
        <v/>
      </c>
      <c r="BP371" s="7" t="str">
        <f aca="false">IF($AH371="","",IF($Z371&lt;&gt;"Y","undefined",IF($AH371&lt;=100,"Y","N")))</f>
        <v/>
      </c>
    </row>
    <row r="372" customFormat="false" ht="15" hidden="false" customHeight="false" outlineLevel="0" collapsed="false">
      <c r="A372" s="7" t="str">
        <f aca="false">IF($B372="","",$B372&amp;"|"&amp;$C372&amp;"|"&amp;$F372)</f>
        <v/>
      </c>
      <c r="B372" s="5"/>
      <c r="C372" s="5"/>
      <c r="D372" s="5"/>
      <c r="E372" s="5"/>
      <c r="F372" s="5"/>
      <c r="G372" s="5"/>
      <c r="H372" s="5"/>
      <c r="I372" s="5"/>
      <c r="J372" s="20"/>
      <c r="K372" s="20"/>
      <c r="L372" s="28"/>
      <c r="M372" s="20"/>
      <c r="N372" s="28"/>
      <c r="O372" s="19"/>
      <c r="P372" s="19"/>
      <c r="Q372" s="5"/>
      <c r="R372" s="19"/>
      <c r="S372" s="5"/>
      <c r="T372" s="20"/>
      <c r="U372" s="20"/>
      <c r="V372" s="29"/>
      <c r="W372" s="28"/>
      <c r="X372" s="19"/>
      <c r="Y372" s="19"/>
      <c r="Z372" s="5"/>
      <c r="AA372" s="19"/>
      <c r="AB372" s="5"/>
      <c r="AC372" s="5"/>
      <c r="AD372" s="5"/>
      <c r="AE372" s="5"/>
      <c r="AF372" s="30"/>
      <c r="AG372" s="30"/>
      <c r="AH372" s="30"/>
      <c r="AI372" s="30"/>
      <c r="AJ372" s="30"/>
      <c r="AK372" s="30"/>
      <c r="AL372" s="28"/>
      <c r="AM372" s="5"/>
      <c r="AN372" s="19"/>
      <c r="AO372" s="19"/>
      <c r="AP372" s="5"/>
      <c r="AQ372" s="5"/>
      <c r="AR372" s="5"/>
      <c r="AS372" s="5"/>
      <c r="AT372" s="5"/>
      <c r="AU372" s="19"/>
      <c r="AV372" s="19"/>
      <c r="AW372" s="5"/>
      <c r="AX372" s="5"/>
      <c r="AY372" s="19"/>
      <c r="AZ372" s="30"/>
      <c r="BA372" s="5"/>
      <c r="BB372" s="31" t="str">
        <f aca="false">IF(OR($T372="",$M372=""),"",$T372-$M372)</f>
        <v/>
      </c>
      <c r="BC372" s="32" t="str">
        <f aca="false">IF(OR($T372="",$M372="",$M372=0),"",($T372-$M372)/$M372)</f>
        <v/>
      </c>
      <c r="BD372" s="31" t="str">
        <f aca="false">IF(OR($U372="",$M372=""),"",$U372-$M372)</f>
        <v/>
      </c>
      <c r="BE372" s="32" t="str">
        <f aca="false">IF(OR($U372="",$M372="",$M372=0),"",($U372-$M372)/$M372)</f>
        <v/>
      </c>
      <c r="BF372" s="32" t="str">
        <f aca="false">IF(OR($U372="",$J372="",$J372=0),"",($U372-$J372)/$J372)</f>
        <v/>
      </c>
      <c r="BG372" s="32" t="str">
        <f aca="false">IF(OR($M372="",$K372="",$K372=0),"",($M372-$K372)/$K372)</f>
        <v/>
      </c>
      <c r="BH372" s="32" t="str">
        <f aca="false">IF(OR($W372="",$N372="",$N372=0),"",($W372-$N372)/$N372)</f>
        <v/>
      </c>
      <c r="BI372" s="33" t="str">
        <f aca="false">IF(OR($O372="",$X372=""),"",$O372-$X372)</f>
        <v/>
      </c>
      <c r="BJ372" s="33" t="str">
        <f aca="false">IF(OR($P372="",$Y372=""),"",$P372-$Y372)</f>
        <v/>
      </c>
      <c r="BK372" s="34" t="str">
        <f aca="false">IF(OR($AN372="",$AO372="",$AN372=0),"",$AO372/$AN372)</f>
        <v/>
      </c>
      <c r="BL372" s="34" t="str">
        <f aca="false">IF(OR($AU372="",$AV372="",$AU372=0),"",$AV372/$AU372)</f>
        <v/>
      </c>
      <c r="BM372" s="7" t="str">
        <f aca="false">IF($Z372="","",IF(AND($Z372="Y",$AB372&lt;&gt;"N",$AC372&lt;&gt;"Y"),"Y","N"))</f>
        <v/>
      </c>
      <c r="BN372" s="7" t="str">
        <f aca="false">IF($AH372="","",IF($Z372&lt;&gt;"Y","undefined",IF($AH372&lt;=1,"Y","N")))</f>
        <v/>
      </c>
      <c r="BO372" s="7" t="str">
        <f aca="false">IF($AH372="","",IF($Z372&lt;&gt;"Y","undefined",IF($AH372&lt;=10,"Y","N")))</f>
        <v/>
      </c>
      <c r="BP372" s="7" t="str">
        <f aca="false">IF($AH372="","",IF($Z372&lt;&gt;"Y","undefined",IF($AH372&lt;=100,"Y","N")))</f>
        <v/>
      </c>
    </row>
    <row r="373" customFormat="false" ht="15" hidden="false" customHeight="false" outlineLevel="0" collapsed="false">
      <c r="A373" s="7" t="str">
        <f aca="false">IF($B373="","",$B373&amp;"|"&amp;$C373&amp;"|"&amp;$F373)</f>
        <v/>
      </c>
      <c r="B373" s="5"/>
      <c r="C373" s="5"/>
      <c r="D373" s="5"/>
      <c r="E373" s="5"/>
      <c r="F373" s="5"/>
      <c r="G373" s="5"/>
      <c r="H373" s="5"/>
      <c r="I373" s="5"/>
      <c r="J373" s="20"/>
      <c r="K373" s="20"/>
      <c r="L373" s="28"/>
      <c r="M373" s="20"/>
      <c r="N373" s="28"/>
      <c r="O373" s="19"/>
      <c r="P373" s="19"/>
      <c r="Q373" s="5"/>
      <c r="R373" s="19"/>
      <c r="S373" s="5"/>
      <c r="T373" s="20"/>
      <c r="U373" s="20"/>
      <c r="V373" s="29"/>
      <c r="W373" s="28"/>
      <c r="X373" s="19"/>
      <c r="Y373" s="19"/>
      <c r="Z373" s="5"/>
      <c r="AA373" s="19"/>
      <c r="AB373" s="5"/>
      <c r="AC373" s="5"/>
      <c r="AD373" s="5"/>
      <c r="AE373" s="5"/>
      <c r="AF373" s="30"/>
      <c r="AG373" s="30"/>
      <c r="AH373" s="30"/>
      <c r="AI373" s="30"/>
      <c r="AJ373" s="30"/>
      <c r="AK373" s="30"/>
      <c r="AL373" s="28"/>
      <c r="AM373" s="5"/>
      <c r="AN373" s="19"/>
      <c r="AO373" s="19"/>
      <c r="AP373" s="5"/>
      <c r="AQ373" s="5"/>
      <c r="AR373" s="5"/>
      <c r="AS373" s="5"/>
      <c r="AT373" s="5"/>
      <c r="AU373" s="19"/>
      <c r="AV373" s="19"/>
      <c r="AW373" s="5"/>
      <c r="AX373" s="5"/>
      <c r="AY373" s="19"/>
      <c r="AZ373" s="30"/>
      <c r="BA373" s="5"/>
      <c r="BB373" s="31" t="str">
        <f aca="false">IF(OR($T373="",$M373=""),"",$T373-$M373)</f>
        <v/>
      </c>
      <c r="BC373" s="32" t="str">
        <f aca="false">IF(OR($T373="",$M373="",$M373=0),"",($T373-$M373)/$M373)</f>
        <v/>
      </c>
      <c r="BD373" s="31" t="str">
        <f aca="false">IF(OR($U373="",$M373=""),"",$U373-$M373)</f>
        <v/>
      </c>
      <c r="BE373" s="32" t="str">
        <f aca="false">IF(OR($U373="",$M373="",$M373=0),"",($U373-$M373)/$M373)</f>
        <v/>
      </c>
      <c r="BF373" s="32" t="str">
        <f aca="false">IF(OR($U373="",$J373="",$J373=0),"",($U373-$J373)/$J373)</f>
        <v/>
      </c>
      <c r="BG373" s="32" t="str">
        <f aca="false">IF(OR($M373="",$K373="",$K373=0),"",($M373-$K373)/$K373)</f>
        <v/>
      </c>
      <c r="BH373" s="32" t="str">
        <f aca="false">IF(OR($W373="",$N373="",$N373=0),"",($W373-$N373)/$N373)</f>
        <v/>
      </c>
      <c r="BI373" s="33" t="str">
        <f aca="false">IF(OR($O373="",$X373=""),"",$O373-$X373)</f>
        <v/>
      </c>
      <c r="BJ373" s="33" t="str">
        <f aca="false">IF(OR($P373="",$Y373=""),"",$P373-$Y373)</f>
        <v/>
      </c>
      <c r="BK373" s="34" t="str">
        <f aca="false">IF(OR($AN373="",$AO373="",$AN373=0),"",$AO373/$AN373)</f>
        <v/>
      </c>
      <c r="BL373" s="34" t="str">
        <f aca="false">IF(OR($AU373="",$AV373="",$AU373=0),"",$AV373/$AU373)</f>
        <v/>
      </c>
      <c r="BM373" s="7" t="str">
        <f aca="false">IF($Z373="","",IF(AND($Z373="Y",$AB373&lt;&gt;"N",$AC373&lt;&gt;"Y"),"Y","N"))</f>
        <v/>
      </c>
      <c r="BN373" s="7" t="str">
        <f aca="false">IF($AH373="","",IF($Z373&lt;&gt;"Y","undefined",IF($AH373&lt;=1,"Y","N")))</f>
        <v/>
      </c>
      <c r="BO373" s="7" t="str">
        <f aca="false">IF($AH373="","",IF($Z373&lt;&gt;"Y","undefined",IF($AH373&lt;=10,"Y","N")))</f>
        <v/>
      </c>
      <c r="BP373" s="7" t="str">
        <f aca="false">IF($AH373="","",IF($Z373&lt;&gt;"Y","undefined",IF($AH373&lt;=100,"Y","N")))</f>
        <v/>
      </c>
    </row>
    <row r="374" customFormat="false" ht="15" hidden="false" customHeight="false" outlineLevel="0" collapsed="false">
      <c r="A374" s="7" t="str">
        <f aca="false">IF($B374="","",$B374&amp;"|"&amp;$C374&amp;"|"&amp;$F374)</f>
        <v/>
      </c>
      <c r="B374" s="5"/>
      <c r="C374" s="5"/>
      <c r="D374" s="5"/>
      <c r="E374" s="5"/>
      <c r="F374" s="5"/>
      <c r="G374" s="5"/>
      <c r="H374" s="5"/>
      <c r="I374" s="5"/>
      <c r="J374" s="20"/>
      <c r="K374" s="20"/>
      <c r="L374" s="28"/>
      <c r="M374" s="20"/>
      <c r="N374" s="28"/>
      <c r="O374" s="19"/>
      <c r="P374" s="19"/>
      <c r="Q374" s="5"/>
      <c r="R374" s="19"/>
      <c r="S374" s="5"/>
      <c r="T374" s="20"/>
      <c r="U374" s="20"/>
      <c r="V374" s="29"/>
      <c r="W374" s="28"/>
      <c r="X374" s="19"/>
      <c r="Y374" s="19"/>
      <c r="Z374" s="5"/>
      <c r="AA374" s="19"/>
      <c r="AB374" s="5"/>
      <c r="AC374" s="5"/>
      <c r="AD374" s="5"/>
      <c r="AE374" s="5"/>
      <c r="AF374" s="30"/>
      <c r="AG374" s="30"/>
      <c r="AH374" s="30"/>
      <c r="AI374" s="30"/>
      <c r="AJ374" s="30"/>
      <c r="AK374" s="30"/>
      <c r="AL374" s="28"/>
      <c r="AM374" s="5"/>
      <c r="AN374" s="19"/>
      <c r="AO374" s="19"/>
      <c r="AP374" s="5"/>
      <c r="AQ374" s="5"/>
      <c r="AR374" s="5"/>
      <c r="AS374" s="5"/>
      <c r="AT374" s="5"/>
      <c r="AU374" s="19"/>
      <c r="AV374" s="19"/>
      <c r="AW374" s="5"/>
      <c r="AX374" s="5"/>
      <c r="AY374" s="19"/>
      <c r="AZ374" s="30"/>
      <c r="BA374" s="5"/>
      <c r="BB374" s="31" t="str">
        <f aca="false">IF(OR($T374="",$M374=""),"",$T374-$M374)</f>
        <v/>
      </c>
      <c r="BC374" s="32" t="str">
        <f aca="false">IF(OR($T374="",$M374="",$M374=0),"",($T374-$M374)/$M374)</f>
        <v/>
      </c>
      <c r="BD374" s="31" t="str">
        <f aca="false">IF(OR($U374="",$M374=""),"",$U374-$M374)</f>
        <v/>
      </c>
      <c r="BE374" s="32" t="str">
        <f aca="false">IF(OR($U374="",$M374="",$M374=0),"",($U374-$M374)/$M374)</f>
        <v/>
      </c>
      <c r="BF374" s="32" t="str">
        <f aca="false">IF(OR($U374="",$J374="",$J374=0),"",($U374-$J374)/$J374)</f>
        <v/>
      </c>
      <c r="BG374" s="32" t="str">
        <f aca="false">IF(OR($M374="",$K374="",$K374=0),"",($M374-$K374)/$K374)</f>
        <v/>
      </c>
      <c r="BH374" s="32" t="str">
        <f aca="false">IF(OR($W374="",$N374="",$N374=0),"",($W374-$N374)/$N374)</f>
        <v/>
      </c>
      <c r="BI374" s="33" t="str">
        <f aca="false">IF(OR($O374="",$X374=""),"",$O374-$X374)</f>
        <v/>
      </c>
      <c r="BJ374" s="33" t="str">
        <f aca="false">IF(OR($P374="",$Y374=""),"",$P374-$Y374)</f>
        <v/>
      </c>
      <c r="BK374" s="34" t="str">
        <f aca="false">IF(OR($AN374="",$AO374="",$AN374=0),"",$AO374/$AN374)</f>
        <v/>
      </c>
      <c r="BL374" s="34" t="str">
        <f aca="false">IF(OR($AU374="",$AV374="",$AU374=0),"",$AV374/$AU374)</f>
        <v/>
      </c>
      <c r="BM374" s="7" t="str">
        <f aca="false">IF($Z374="","",IF(AND($Z374="Y",$AB374&lt;&gt;"N",$AC374&lt;&gt;"Y"),"Y","N"))</f>
        <v/>
      </c>
      <c r="BN374" s="7" t="str">
        <f aca="false">IF($AH374="","",IF($Z374&lt;&gt;"Y","undefined",IF($AH374&lt;=1,"Y","N")))</f>
        <v/>
      </c>
      <c r="BO374" s="7" t="str">
        <f aca="false">IF($AH374="","",IF($Z374&lt;&gt;"Y","undefined",IF($AH374&lt;=10,"Y","N")))</f>
        <v/>
      </c>
      <c r="BP374" s="7" t="str">
        <f aca="false">IF($AH374="","",IF($Z374&lt;&gt;"Y","undefined",IF($AH374&lt;=100,"Y","N")))</f>
        <v/>
      </c>
    </row>
    <row r="375" customFormat="false" ht="15" hidden="false" customHeight="false" outlineLevel="0" collapsed="false">
      <c r="A375" s="7" t="str">
        <f aca="false">IF($B375="","",$B375&amp;"|"&amp;$C375&amp;"|"&amp;$F375)</f>
        <v/>
      </c>
      <c r="B375" s="5"/>
      <c r="C375" s="5"/>
      <c r="D375" s="5"/>
      <c r="E375" s="5"/>
      <c r="F375" s="5"/>
      <c r="G375" s="5"/>
      <c r="H375" s="5"/>
      <c r="I375" s="5"/>
      <c r="J375" s="20"/>
      <c r="K375" s="20"/>
      <c r="L375" s="28"/>
      <c r="M375" s="20"/>
      <c r="N375" s="28"/>
      <c r="O375" s="19"/>
      <c r="P375" s="19"/>
      <c r="Q375" s="5"/>
      <c r="R375" s="19"/>
      <c r="S375" s="5"/>
      <c r="T375" s="20"/>
      <c r="U375" s="20"/>
      <c r="V375" s="29"/>
      <c r="W375" s="28"/>
      <c r="X375" s="19"/>
      <c r="Y375" s="19"/>
      <c r="Z375" s="5"/>
      <c r="AA375" s="19"/>
      <c r="AB375" s="5"/>
      <c r="AC375" s="5"/>
      <c r="AD375" s="5"/>
      <c r="AE375" s="5"/>
      <c r="AF375" s="30"/>
      <c r="AG375" s="30"/>
      <c r="AH375" s="30"/>
      <c r="AI375" s="30"/>
      <c r="AJ375" s="30"/>
      <c r="AK375" s="30"/>
      <c r="AL375" s="28"/>
      <c r="AM375" s="5"/>
      <c r="AN375" s="19"/>
      <c r="AO375" s="19"/>
      <c r="AP375" s="5"/>
      <c r="AQ375" s="5"/>
      <c r="AR375" s="5"/>
      <c r="AS375" s="5"/>
      <c r="AT375" s="5"/>
      <c r="AU375" s="19"/>
      <c r="AV375" s="19"/>
      <c r="AW375" s="5"/>
      <c r="AX375" s="5"/>
      <c r="AY375" s="19"/>
      <c r="AZ375" s="30"/>
      <c r="BA375" s="5"/>
      <c r="BB375" s="31" t="str">
        <f aca="false">IF(OR($T375="",$M375=""),"",$T375-$M375)</f>
        <v/>
      </c>
      <c r="BC375" s="32" t="str">
        <f aca="false">IF(OR($T375="",$M375="",$M375=0),"",($T375-$M375)/$M375)</f>
        <v/>
      </c>
      <c r="BD375" s="31" t="str">
        <f aca="false">IF(OR($U375="",$M375=""),"",$U375-$M375)</f>
        <v/>
      </c>
      <c r="BE375" s="32" t="str">
        <f aca="false">IF(OR($U375="",$M375="",$M375=0),"",($U375-$M375)/$M375)</f>
        <v/>
      </c>
      <c r="BF375" s="32" t="str">
        <f aca="false">IF(OR($U375="",$J375="",$J375=0),"",($U375-$J375)/$J375)</f>
        <v/>
      </c>
      <c r="BG375" s="32" t="str">
        <f aca="false">IF(OR($M375="",$K375="",$K375=0),"",($M375-$K375)/$K375)</f>
        <v/>
      </c>
      <c r="BH375" s="32" t="str">
        <f aca="false">IF(OR($W375="",$N375="",$N375=0),"",($W375-$N375)/$N375)</f>
        <v/>
      </c>
      <c r="BI375" s="33" t="str">
        <f aca="false">IF(OR($O375="",$X375=""),"",$O375-$X375)</f>
        <v/>
      </c>
      <c r="BJ375" s="33" t="str">
        <f aca="false">IF(OR($P375="",$Y375=""),"",$P375-$Y375)</f>
        <v/>
      </c>
      <c r="BK375" s="34" t="str">
        <f aca="false">IF(OR($AN375="",$AO375="",$AN375=0),"",$AO375/$AN375)</f>
        <v/>
      </c>
      <c r="BL375" s="34" t="str">
        <f aca="false">IF(OR($AU375="",$AV375="",$AU375=0),"",$AV375/$AU375)</f>
        <v/>
      </c>
      <c r="BM375" s="7" t="str">
        <f aca="false">IF($Z375="","",IF(AND($Z375="Y",$AB375&lt;&gt;"N",$AC375&lt;&gt;"Y"),"Y","N"))</f>
        <v/>
      </c>
      <c r="BN375" s="7" t="str">
        <f aca="false">IF($AH375="","",IF($Z375&lt;&gt;"Y","undefined",IF($AH375&lt;=1,"Y","N")))</f>
        <v/>
      </c>
      <c r="BO375" s="7" t="str">
        <f aca="false">IF($AH375="","",IF($Z375&lt;&gt;"Y","undefined",IF($AH375&lt;=10,"Y","N")))</f>
        <v/>
      </c>
      <c r="BP375" s="7" t="str">
        <f aca="false">IF($AH375="","",IF($Z375&lt;&gt;"Y","undefined",IF($AH375&lt;=100,"Y","N")))</f>
        <v/>
      </c>
    </row>
    <row r="376" customFormat="false" ht="15" hidden="false" customHeight="false" outlineLevel="0" collapsed="false">
      <c r="A376" s="7" t="str">
        <f aca="false">IF($B376="","",$B376&amp;"|"&amp;$C376&amp;"|"&amp;$F376)</f>
        <v/>
      </c>
      <c r="B376" s="5"/>
      <c r="C376" s="5"/>
      <c r="D376" s="5"/>
      <c r="E376" s="5"/>
      <c r="F376" s="5"/>
      <c r="G376" s="5"/>
      <c r="H376" s="5"/>
      <c r="I376" s="5"/>
      <c r="J376" s="20"/>
      <c r="K376" s="20"/>
      <c r="L376" s="28"/>
      <c r="M376" s="20"/>
      <c r="N376" s="28"/>
      <c r="O376" s="19"/>
      <c r="P376" s="19"/>
      <c r="Q376" s="5"/>
      <c r="R376" s="19"/>
      <c r="S376" s="5"/>
      <c r="T376" s="20"/>
      <c r="U376" s="20"/>
      <c r="V376" s="29"/>
      <c r="W376" s="28"/>
      <c r="X376" s="19"/>
      <c r="Y376" s="19"/>
      <c r="Z376" s="5"/>
      <c r="AA376" s="19"/>
      <c r="AB376" s="5"/>
      <c r="AC376" s="5"/>
      <c r="AD376" s="5"/>
      <c r="AE376" s="5"/>
      <c r="AF376" s="30"/>
      <c r="AG376" s="30"/>
      <c r="AH376" s="30"/>
      <c r="AI376" s="30"/>
      <c r="AJ376" s="30"/>
      <c r="AK376" s="30"/>
      <c r="AL376" s="28"/>
      <c r="AM376" s="5"/>
      <c r="AN376" s="19"/>
      <c r="AO376" s="19"/>
      <c r="AP376" s="5"/>
      <c r="AQ376" s="5"/>
      <c r="AR376" s="5"/>
      <c r="AS376" s="5"/>
      <c r="AT376" s="5"/>
      <c r="AU376" s="19"/>
      <c r="AV376" s="19"/>
      <c r="AW376" s="5"/>
      <c r="AX376" s="5"/>
      <c r="AY376" s="19"/>
      <c r="AZ376" s="30"/>
      <c r="BA376" s="5"/>
      <c r="BB376" s="31" t="str">
        <f aca="false">IF(OR($T376="",$M376=""),"",$T376-$M376)</f>
        <v/>
      </c>
      <c r="BC376" s="32" t="str">
        <f aca="false">IF(OR($T376="",$M376="",$M376=0),"",($T376-$M376)/$M376)</f>
        <v/>
      </c>
      <c r="BD376" s="31" t="str">
        <f aca="false">IF(OR($U376="",$M376=""),"",$U376-$M376)</f>
        <v/>
      </c>
      <c r="BE376" s="32" t="str">
        <f aca="false">IF(OR($U376="",$M376="",$M376=0),"",($U376-$M376)/$M376)</f>
        <v/>
      </c>
      <c r="BF376" s="32" t="str">
        <f aca="false">IF(OR($U376="",$J376="",$J376=0),"",($U376-$J376)/$J376)</f>
        <v/>
      </c>
      <c r="BG376" s="32" t="str">
        <f aca="false">IF(OR($M376="",$K376="",$K376=0),"",($M376-$K376)/$K376)</f>
        <v/>
      </c>
      <c r="BH376" s="32" t="str">
        <f aca="false">IF(OR($W376="",$N376="",$N376=0),"",($W376-$N376)/$N376)</f>
        <v/>
      </c>
      <c r="BI376" s="33" t="str">
        <f aca="false">IF(OR($O376="",$X376=""),"",$O376-$X376)</f>
        <v/>
      </c>
      <c r="BJ376" s="33" t="str">
        <f aca="false">IF(OR($P376="",$Y376=""),"",$P376-$Y376)</f>
        <v/>
      </c>
      <c r="BK376" s="34" t="str">
        <f aca="false">IF(OR($AN376="",$AO376="",$AN376=0),"",$AO376/$AN376)</f>
        <v/>
      </c>
      <c r="BL376" s="34" t="str">
        <f aca="false">IF(OR($AU376="",$AV376="",$AU376=0),"",$AV376/$AU376)</f>
        <v/>
      </c>
      <c r="BM376" s="7" t="str">
        <f aca="false">IF($Z376="","",IF(AND($Z376="Y",$AB376&lt;&gt;"N",$AC376&lt;&gt;"Y"),"Y","N"))</f>
        <v/>
      </c>
      <c r="BN376" s="7" t="str">
        <f aca="false">IF($AH376="","",IF($Z376&lt;&gt;"Y","undefined",IF($AH376&lt;=1,"Y","N")))</f>
        <v/>
      </c>
      <c r="BO376" s="7" t="str">
        <f aca="false">IF($AH376="","",IF($Z376&lt;&gt;"Y","undefined",IF($AH376&lt;=10,"Y","N")))</f>
        <v/>
      </c>
      <c r="BP376" s="7" t="str">
        <f aca="false">IF($AH376="","",IF($Z376&lt;&gt;"Y","undefined",IF($AH376&lt;=100,"Y","N")))</f>
        <v/>
      </c>
    </row>
    <row r="377" customFormat="false" ht="15" hidden="false" customHeight="false" outlineLevel="0" collapsed="false">
      <c r="A377" s="7" t="str">
        <f aca="false">IF($B377="","",$B377&amp;"|"&amp;$C377&amp;"|"&amp;$F377)</f>
        <v/>
      </c>
      <c r="B377" s="5"/>
      <c r="C377" s="5"/>
      <c r="D377" s="5"/>
      <c r="E377" s="5"/>
      <c r="F377" s="5"/>
      <c r="G377" s="5"/>
      <c r="H377" s="5"/>
      <c r="I377" s="5"/>
      <c r="J377" s="20"/>
      <c r="K377" s="20"/>
      <c r="L377" s="28"/>
      <c r="M377" s="20"/>
      <c r="N377" s="28"/>
      <c r="O377" s="19"/>
      <c r="P377" s="19"/>
      <c r="Q377" s="5"/>
      <c r="R377" s="19"/>
      <c r="S377" s="5"/>
      <c r="T377" s="20"/>
      <c r="U377" s="20"/>
      <c r="V377" s="29"/>
      <c r="W377" s="28"/>
      <c r="X377" s="19"/>
      <c r="Y377" s="19"/>
      <c r="Z377" s="5"/>
      <c r="AA377" s="19"/>
      <c r="AB377" s="5"/>
      <c r="AC377" s="5"/>
      <c r="AD377" s="5"/>
      <c r="AE377" s="5"/>
      <c r="AF377" s="30"/>
      <c r="AG377" s="30"/>
      <c r="AH377" s="30"/>
      <c r="AI377" s="30"/>
      <c r="AJ377" s="30"/>
      <c r="AK377" s="30"/>
      <c r="AL377" s="28"/>
      <c r="AM377" s="5"/>
      <c r="AN377" s="19"/>
      <c r="AO377" s="19"/>
      <c r="AP377" s="5"/>
      <c r="AQ377" s="5"/>
      <c r="AR377" s="5"/>
      <c r="AS377" s="5"/>
      <c r="AT377" s="5"/>
      <c r="AU377" s="19"/>
      <c r="AV377" s="19"/>
      <c r="AW377" s="5"/>
      <c r="AX377" s="5"/>
      <c r="AY377" s="19"/>
      <c r="AZ377" s="30"/>
      <c r="BA377" s="5"/>
      <c r="BB377" s="31" t="str">
        <f aca="false">IF(OR($T377="",$M377=""),"",$T377-$M377)</f>
        <v/>
      </c>
      <c r="BC377" s="32" t="str">
        <f aca="false">IF(OR($T377="",$M377="",$M377=0),"",($T377-$M377)/$M377)</f>
        <v/>
      </c>
      <c r="BD377" s="31" t="str">
        <f aca="false">IF(OR($U377="",$M377=""),"",$U377-$M377)</f>
        <v/>
      </c>
      <c r="BE377" s="32" t="str">
        <f aca="false">IF(OR($U377="",$M377="",$M377=0),"",($U377-$M377)/$M377)</f>
        <v/>
      </c>
      <c r="BF377" s="32" t="str">
        <f aca="false">IF(OR($U377="",$J377="",$J377=0),"",($U377-$J377)/$J377)</f>
        <v/>
      </c>
      <c r="BG377" s="32" t="str">
        <f aca="false">IF(OR($M377="",$K377="",$K377=0),"",($M377-$K377)/$K377)</f>
        <v/>
      </c>
      <c r="BH377" s="32" t="str">
        <f aca="false">IF(OR($W377="",$N377="",$N377=0),"",($W377-$N377)/$N377)</f>
        <v/>
      </c>
      <c r="BI377" s="33" t="str">
        <f aca="false">IF(OR($O377="",$X377=""),"",$O377-$X377)</f>
        <v/>
      </c>
      <c r="BJ377" s="33" t="str">
        <f aca="false">IF(OR($P377="",$Y377=""),"",$P377-$Y377)</f>
        <v/>
      </c>
      <c r="BK377" s="34" t="str">
        <f aca="false">IF(OR($AN377="",$AO377="",$AN377=0),"",$AO377/$AN377)</f>
        <v/>
      </c>
      <c r="BL377" s="34" t="str">
        <f aca="false">IF(OR($AU377="",$AV377="",$AU377=0),"",$AV377/$AU377)</f>
        <v/>
      </c>
      <c r="BM377" s="7" t="str">
        <f aca="false">IF($Z377="","",IF(AND($Z377="Y",$AB377&lt;&gt;"N",$AC377&lt;&gt;"Y"),"Y","N"))</f>
        <v/>
      </c>
      <c r="BN377" s="7" t="str">
        <f aca="false">IF($AH377="","",IF($Z377&lt;&gt;"Y","undefined",IF($AH377&lt;=1,"Y","N")))</f>
        <v/>
      </c>
      <c r="BO377" s="7" t="str">
        <f aca="false">IF($AH377="","",IF($Z377&lt;&gt;"Y","undefined",IF($AH377&lt;=10,"Y","N")))</f>
        <v/>
      </c>
      <c r="BP377" s="7" t="str">
        <f aca="false">IF($AH377="","",IF($Z377&lt;&gt;"Y","undefined",IF($AH377&lt;=100,"Y","N")))</f>
        <v/>
      </c>
    </row>
    <row r="378" customFormat="false" ht="15" hidden="false" customHeight="false" outlineLevel="0" collapsed="false">
      <c r="A378" s="7" t="str">
        <f aca="false">IF($B378="","",$B378&amp;"|"&amp;$C378&amp;"|"&amp;$F378)</f>
        <v/>
      </c>
      <c r="B378" s="5"/>
      <c r="C378" s="5"/>
      <c r="D378" s="5"/>
      <c r="E378" s="5"/>
      <c r="F378" s="5"/>
      <c r="G378" s="5"/>
      <c r="H378" s="5"/>
      <c r="I378" s="5"/>
      <c r="J378" s="20"/>
      <c r="K378" s="20"/>
      <c r="L378" s="28"/>
      <c r="M378" s="20"/>
      <c r="N378" s="28"/>
      <c r="O378" s="19"/>
      <c r="P378" s="19"/>
      <c r="Q378" s="5"/>
      <c r="R378" s="19"/>
      <c r="S378" s="5"/>
      <c r="T378" s="20"/>
      <c r="U378" s="20"/>
      <c r="V378" s="29"/>
      <c r="W378" s="28"/>
      <c r="X378" s="19"/>
      <c r="Y378" s="19"/>
      <c r="Z378" s="5"/>
      <c r="AA378" s="19"/>
      <c r="AB378" s="5"/>
      <c r="AC378" s="5"/>
      <c r="AD378" s="5"/>
      <c r="AE378" s="5"/>
      <c r="AF378" s="30"/>
      <c r="AG378" s="30"/>
      <c r="AH378" s="30"/>
      <c r="AI378" s="30"/>
      <c r="AJ378" s="30"/>
      <c r="AK378" s="30"/>
      <c r="AL378" s="28"/>
      <c r="AM378" s="5"/>
      <c r="AN378" s="19"/>
      <c r="AO378" s="19"/>
      <c r="AP378" s="5"/>
      <c r="AQ378" s="5"/>
      <c r="AR378" s="5"/>
      <c r="AS378" s="5"/>
      <c r="AT378" s="5"/>
      <c r="AU378" s="19"/>
      <c r="AV378" s="19"/>
      <c r="AW378" s="5"/>
      <c r="AX378" s="5"/>
      <c r="AY378" s="19"/>
      <c r="AZ378" s="30"/>
      <c r="BA378" s="5"/>
      <c r="BB378" s="31" t="str">
        <f aca="false">IF(OR($T378="",$M378=""),"",$T378-$M378)</f>
        <v/>
      </c>
      <c r="BC378" s="32" t="str">
        <f aca="false">IF(OR($T378="",$M378="",$M378=0),"",($T378-$M378)/$M378)</f>
        <v/>
      </c>
      <c r="BD378" s="31" t="str">
        <f aca="false">IF(OR($U378="",$M378=""),"",$U378-$M378)</f>
        <v/>
      </c>
      <c r="BE378" s="32" t="str">
        <f aca="false">IF(OR($U378="",$M378="",$M378=0),"",($U378-$M378)/$M378)</f>
        <v/>
      </c>
      <c r="BF378" s="32" t="str">
        <f aca="false">IF(OR($U378="",$J378="",$J378=0),"",($U378-$J378)/$J378)</f>
        <v/>
      </c>
      <c r="BG378" s="32" t="str">
        <f aca="false">IF(OR($M378="",$K378="",$K378=0),"",($M378-$K378)/$K378)</f>
        <v/>
      </c>
      <c r="BH378" s="32" t="str">
        <f aca="false">IF(OR($W378="",$N378="",$N378=0),"",($W378-$N378)/$N378)</f>
        <v/>
      </c>
      <c r="BI378" s="33" t="str">
        <f aca="false">IF(OR($O378="",$X378=""),"",$O378-$X378)</f>
        <v/>
      </c>
      <c r="BJ378" s="33" t="str">
        <f aca="false">IF(OR($P378="",$Y378=""),"",$P378-$Y378)</f>
        <v/>
      </c>
      <c r="BK378" s="34" t="str">
        <f aca="false">IF(OR($AN378="",$AO378="",$AN378=0),"",$AO378/$AN378)</f>
        <v/>
      </c>
      <c r="BL378" s="34" t="str">
        <f aca="false">IF(OR($AU378="",$AV378="",$AU378=0),"",$AV378/$AU378)</f>
        <v/>
      </c>
      <c r="BM378" s="7" t="str">
        <f aca="false">IF($Z378="","",IF(AND($Z378="Y",$AB378&lt;&gt;"N",$AC378&lt;&gt;"Y"),"Y","N"))</f>
        <v/>
      </c>
      <c r="BN378" s="7" t="str">
        <f aca="false">IF($AH378="","",IF($Z378&lt;&gt;"Y","undefined",IF($AH378&lt;=1,"Y","N")))</f>
        <v/>
      </c>
      <c r="BO378" s="7" t="str">
        <f aca="false">IF($AH378="","",IF($Z378&lt;&gt;"Y","undefined",IF($AH378&lt;=10,"Y","N")))</f>
        <v/>
      </c>
      <c r="BP378" s="7" t="str">
        <f aca="false">IF($AH378="","",IF($Z378&lt;&gt;"Y","undefined",IF($AH378&lt;=100,"Y","N")))</f>
        <v/>
      </c>
    </row>
    <row r="379" customFormat="false" ht="15" hidden="false" customHeight="false" outlineLevel="0" collapsed="false">
      <c r="A379" s="7" t="str">
        <f aca="false">IF($B379="","",$B379&amp;"|"&amp;$C379&amp;"|"&amp;$F379)</f>
        <v/>
      </c>
      <c r="B379" s="5"/>
      <c r="C379" s="5"/>
      <c r="D379" s="5"/>
      <c r="E379" s="5"/>
      <c r="F379" s="5"/>
      <c r="G379" s="5"/>
      <c r="H379" s="5"/>
      <c r="I379" s="5"/>
      <c r="J379" s="20"/>
      <c r="K379" s="20"/>
      <c r="L379" s="28"/>
      <c r="M379" s="20"/>
      <c r="N379" s="28"/>
      <c r="O379" s="19"/>
      <c r="P379" s="19"/>
      <c r="Q379" s="5"/>
      <c r="R379" s="19"/>
      <c r="S379" s="5"/>
      <c r="T379" s="20"/>
      <c r="U379" s="20"/>
      <c r="V379" s="29"/>
      <c r="W379" s="28"/>
      <c r="X379" s="19"/>
      <c r="Y379" s="19"/>
      <c r="Z379" s="5"/>
      <c r="AA379" s="19"/>
      <c r="AB379" s="5"/>
      <c r="AC379" s="5"/>
      <c r="AD379" s="5"/>
      <c r="AE379" s="5"/>
      <c r="AF379" s="30"/>
      <c r="AG379" s="30"/>
      <c r="AH379" s="30"/>
      <c r="AI379" s="30"/>
      <c r="AJ379" s="30"/>
      <c r="AK379" s="30"/>
      <c r="AL379" s="28"/>
      <c r="AM379" s="5"/>
      <c r="AN379" s="19"/>
      <c r="AO379" s="19"/>
      <c r="AP379" s="5"/>
      <c r="AQ379" s="5"/>
      <c r="AR379" s="5"/>
      <c r="AS379" s="5"/>
      <c r="AT379" s="5"/>
      <c r="AU379" s="19"/>
      <c r="AV379" s="19"/>
      <c r="AW379" s="5"/>
      <c r="AX379" s="5"/>
      <c r="AY379" s="19"/>
      <c r="AZ379" s="30"/>
      <c r="BA379" s="5"/>
      <c r="BB379" s="31" t="str">
        <f aca="false">IF(OR($T379="",$M379=""),"",$T379-$M379)</f>
        <v/>
      </c>
      <c r="BC379" s="32" t="str">
        <f aca="false">IF(OR($T379="",$M379="",$M379=0),"",($T379-$M379)/$M379)</f>
        <v/>
      </c>
      <c r="BD379" s="31" t="str">
        <f aca="false">IF(OR($U379="",$M379=""),"",$U379-$M379)</f>
        <v/>
      </c>
      <c r="BE379" s="32" t="str">
        <f aca="false">IF(OR($U379="",$M379="",$M379=0),"",($U379-$M379)/$M379)</f>
        <v/>
      </c>
      <c r="BF379" s="32" t="str">
        <f aca="false">IF(OR($U379="",$J379="",$J379=0),"",($U379-$J379)/$J379)</f>
        <v/>
      </c>
      <c r="BG379" s="32" t="str">
        <f aca="false">IF(OR($M379="",$K379="",$K379=0),"",($M379-$K379)/$K379)</f>
        <v/>
      </c>
      <c r="BH379" s="32" t="str">
        <f aca="false">IF(OR($W379="",$N379="",$N379=0),"",($W379-$N379)/$N379)</f>
        <v/>
      </c>
      <c r="BI379" s="33" t="str">
        <f aca="false">IF(OR($O379="",$X379=""),"",$O379-$X379)</f>
        <v/>
      </c>
      <c r="BJ379" s="33" t="str">
        <f aca="false">IF(OR($P379="",$Y379=""),"",$P379-$Y379)</f>
        <v/>
      </c>
      <c r="BK379" s="34" t="str">
        <f aca="false">IF(OR($AN379="",$AO379="",$AN379=0),"",$AO379/$AN379)</f>
        <v/>
      </c>
      <c r="BL379" s="34" t="str">
        <f aca="false">IF(OR($AU379="",$AV379="",$AU379=0),"",$AV379/$AU379)</f>
        <v/>
      </c>
      <c r="BM379" s="7" t="str">
        <f aca="false">IF($Z379="","",IF(AND($Z379="Y",$AB379&lt;&gt;"N",$AC379&lt;&gt;"Y"),"Y","N"))</f>
        <v/>
      </c>
      <c r="BN379" s="7" t="str">
        <f aca="false">IF($AH379="","",IF($Z379&lt;&gt;"Y","undefined",IF($AH379&lt;=1,"Y","N")))</f>
        <v/>
      </c>
      <c r="BO379" s="7" t="str">
        <f aca="false">IF($AH379="","",IF($Z379&lt;&gt;"Y","undefined",IF($AH379&lt;=10,"Y","N")))</f>
        <v/>
      </c>
      <c r="BP379" s="7" t="str">
        <f aca="false">IF($AH379="","",IF($Z379&lt;&gt;"Y","undefined",IF($AH379&lt;=100,"Y","N")))</f>
        <v/>
      </c>
    </row>
    <row r="380" customFormat="false" ht="15" hidden="false" customHeight="false" outlineLevel="0" collapsed="false">
      <c r="A380" s="7" t="str">
        <f aca="false">IF($B380="","",$B380&amp;"|"&amp;$C380&amp;"|"&amp;$F380)</f>
        <v/>
      </c>
      <c r="B380" s="5"/>
      <c r="C380" s="5"/>
      <c r="D380" s="5"/>
      <c r="E380" s="5"/>
      <c r="F380" s="5"/>
      <c r="G380" s="5"/>
      <c r="H380" s="5"/>
      <c r="I380" s="5"/>
      <c r="J380" s="20"/>
      <c r="K380" s="20"/>
      <c r="L380" s="28"/>
      <c r="M380" s="20"/>
      <c r="N380" s="28"/>
      <c r="O380" s="19"/>
      <c r="P380" s="19"/>
      <c r="Q380" s="5"/>
      <c r="R380" s="19"/>
      <c r="S380" s="5"/>
      <c r="T380" s="20"/>
      <c r="U380" s="20"/>
      <c r="V380" s="29"/>
      <c r="W380" s="28"/>
      <c r="X380" s="19"/>
      <c r="Y380" s="19"/>
      <c r="Z380" s="5"/>
      <c r="AA380" s="19"/>
      <c r="AB380" s="5"/>
      <c r="AC380" s="5"/>
      <c r="AD380" s="5"/>
      <c r="AE380" s="5"/>
      <c r="AF380" s="30"/>
      <c r="AG380" s="30"/>
      <c r="AH380" s="30"/>
      <c r="AI380" s="30"/>
      <c r="AJ380" s="30"/>
      <c r="AK380" s="30"/>
      <c r="AL380" s="28"/>
      <c r="AM380" s="5"/>
      <c r="AN380" s="19"/>
      <c r="AO380" s="19"/>
      <c r="AP380" s="5"/>
      <c r="AQ380" s="5"/>
      <c r="AR380" s="5"/>
      <c r="AS380" s="5"/>
      <c r="AT380" s="5"/>
      <c r="AU380" s="19"/>
      <c r="AV380" s="19"/>
      <c r="AW380" s="5"/>
      <c r="AX380" s="5"/>
      <c r="AY380" s="19"/>
      <c r="AZ380" s="30"/>
      <c r="BA380" s="5"/>
      <c r="BB380" s="31" t="str">
        <f aca="false">IF(OR($T380="",$M380=""),"",$T380-$M380)</f>
        <v/>
      </c>
      <c r="BC380" s="32" t="str">
        <f aca="false">IF(OR($T380="",$M380="",$M380=0),"",($T380-$M380)/$M380)</f>
        <v/>
      </c>
      <c r="BD380" s="31" t="str">
        <f aca="false">IF(OR($U380="",$M380=""),"",$U380-$M380)</f>
        <v/>
      </c>
      <c r="BE380" s="32" t="str">
        <f aca="false">IF(OR($U380="",$M380="",$M380=0),"",($U380-$M380)/$M380)</f>
        <v/>
      </c>
      <c r="BF380" s="32" t="str">
        <f aca="false">IF(OR($U380="",$J380="",$J380=0),"",($U380-$J380)/$J380)</f>
        <v/>
      </c>
      <c r="BG380" s="32" t="str">
        <f aca="false">IF(OR($M380="",$K380="",$K380=0),"",($M380-$K380)/$K380)</f>
        <v/>
      </c>
      <c r="BH380" s="32" t="str">
        <f aca="false">IF(OR($W380="",$N380="",$N380=0),"",($W380-$N380)/$N380)</f>
        <v/>
      </c>
      <c r="BI380" s="33" t="str">
        <f aca="false">IF(OR($O380="",$X380=""),"",$O380-$X380)</f>
        <v/>
      </c>
      <c r="BJ380" s="33" t="str">
        <f aca="false">IF(OR($P380="",$Y380=""),"",$P380-$Y380)</f>
        <v/>
      </c>
      <c r="BK380" s="34" t="str">
        <f aca="false">IF(OR($AN380="",$AO380="",$AN380=0),"",$AO380/$AN380)</f>
        <v/>
      </c>
      <c r="BL380" s="34" t="str">
        <f aca="false">IF(OR($AU380="",$AV380="",$AU380=0),"",$AV380/$AU380)</f>
        <v/>
      </c>
      <c r="BM380" s="7" t="str">
        <f aca="false">IF($Z380="","",IF(AND($Z380="Y",$AB380&lt;&gt;"N",$AC380&lt;&gt;"Y"),"Y","N"))</f>
        <v/>
      </c>
      <c r="BN380" s="7" t="str">
        <f aca="false">IF($AH380="","",IF($Z380&lt;&gt;"Y","undefined",IF($AH380&lt;=1,"Y","N")))</f>
        <v/>
      </c>
      <c r="BO380" s="7" t="str">
        <f aca="false">IF($AH380="","",IF($Z380&lt;&gt;"Y","undefined",IF($AH380&lt;=10,"Y","N")))</f>
        <v/>
      </c>
      <c r="BP380" s="7" t="str">
        <f aca="false">IF($AH380="","",IF($Z380&lt;&gt;"Y","undefined",IF($AH380&lt;=100,"Y","N")))</f>
        <v/>
      </c>
    </row>
    <row r="381" customFormat="false" ht="15" hidden="false" customHeight="false" outlineLevel="0" collapsed="false">
      <c r="A381" s="7" t="str">
        <f aca="false">IF($B381="","",$B381&amp;"|"&amp;$C381&amp;"|"&amp;$F381)</f>
        <v/>
      </c>
      <c r="B381" s="5"/>
      <c r="C381" s="5"/>
      <c r="D381" s="5"/>
      <c r="E381" s="5"/>
      <c r="F381" s="5"/>
      <c r="G381" s="5"/>
      <c r="H381" s="5"/>
      <c r="I381" s="5"/>
      <c r="J381" s="20"/>
      <c r="K381" s="20"/>
      <c r="L381" s="28"/>
      <c r="M381" s="20"/>
      <c r="N381" s="28"/>
      <c r="O381" s="19"/>
      <c r="P381" s="19"/>
      <c r="Q381" s="5"/>
      <c r="R381" s="19"/>
      <c r="S381" s="5"/>
      <c r="T381" s="20"/>
      <c r="U381" s="20"/>
      <c r="V381" s="29"/>
      <c r="W381" s="28"/>
      <c r="X381" s="19"/>
      <c r="Y381" s="19"/>
      <c r="Z381" s="5"/>
      <c r="AA381" s="19"/>
      <c r="AB381" s="5"/>
      <c r="AC381" s="5"/>
      <c r="AD381" s="5"/>
      <c r="AE381" s="5"/>
      <c r="AF381" s="30"/>
      <c r="AG381" s="30"/>
      <c r="AH381" s="30"/>
      <c r="AI381" s="30"/>
      <c r="AJ381" s="30"/>
      <c r="AK381" s="30"/>
      <c r="AL381" s="28"/>
      <c r="AM381" s="5"/>
      <c r="AN381" s="19"/>
      <c r="AO381" s="19"/>
      <c r="AP381" s="5"/>
      <c r="AQ381" s="5"/>
      <c r="AR381" s="5"/>
      <c r="AS381" s="5"/>
      <c r="AT381" s="5"/>
      <c r="AU381" s="19"/>
      <c r="AV381" s="19"/>
      <c r="AW381" s="5"/>
      <c r="AX381" s="5"/>
      <c r="AY381" s="19"/>
      <c r="AZ381" s="30"/>
      <c r="BA381" s="5"/>
      <c r="BB381" s="31" t="str">
        <f aca="false">IF(OR($T381="",$M381=""),"",$T381-$M381)</f>
        <v/>
      </c>
      <c r="BC381" s="32" t="str">
        <f aca="false">IF(OR($T381="",$M381="",$M381=0),"",($T381-$M381)/$M381)</f>
        <v/>
      </c>
      <c r="BD381" s="31" t="str">
        <f aca="false">IF(OR($U381="",$M381=""),"",$U381-$M381)</f>
        <v/>
      </c>
      <c r="BE381" s="32" t="str">
        <f aca="false">IF(OR($U381="",$M381="",$M381=0),"",($U381-$M381)/$M381)</f>
        <v/>
      </c>
      <c r="BF381" s="32" t="str">
        <f aca="false">IF(OR($U381="",$J381="",$J381=0),"",($U381-$J381)/$J381)</f>
        <v/>
      </c>
      <c r="BG381" s="32" t="str">
        <f aca="false">IF(OR($M381="",$K381="",$K381=0),"",($M381-$K381)/$K381)</f>
        <v/>
      </c>
      <c r="BH381" s="32" t="str">
        <f aca="false">IF(OR($W381="",$N381="",$N381=0),"",($W381-$N381)/$N381)</f>
        <v/>
      </c>
      <c r="BI381" s="33" t="str">
        <f aca="false">IF(OR($O381="",$X381=""),"",$O381-$X381)</f>
        <v/>
      </c>
      <c r="BJ381" s="33" t="str">
        <f aca="false">IF(OR($P381="",$Y381=""),"",$P381-$Y381)</f>
        <v/>
      </c>
      <c r="BK381" s="34" t="str">
        <f aca="false">IF(OR($AN381="",$AO381="",$AN381=0),"",$AO381/$AN381)</f>
        <v/>
      </c>
      <c r="BL381" s="34" t="str">
        <f aca="false">IF(OR($AU381="",$AV381="",$AU381=0),"",$AV381/$AU381)</f>
        <v/>
      </c>
      <c r="BM381" s="7" t="str">
        <f aca="false">IF($Z381="","",IF(AND($Z381="Y",$AB381&lt;&gt;"N",$AC381&lt;&gt;"Y"),"Y","N"))</f>
        <v/>
      </c>
      <c r="BN381" s="7" t="str">
        <f aca="false">IF($AH381="","",IF($Z381&lt;&gt;"Y","undefined",IF($AH381&lt;=1,"Y","N")))</f>
        <v/>
      </c>
      <c r="BO381" s="7" t="str">
        <f aca="false">IF($AH381="","",IF($Z381&lt;&gt;"Y","undefined",IF($AH381&lt;=10,"Y","N")))</f>
        <v/>
      </c>
      <c r="BP381" s="7" t="str">
        <f aca="false">IF($AH381="","",IF($Z381&lt;&gt;"Y","undefined",IF($AH381&lt;=100,"Y","N")))</f>
        <v/>
      </c>
    </row>
    <row r="382" customFormat="false" ht="15" hidden="false" customHeight="false" outlineLevel="0" collapsed="false">
      <c r="A382" s="7" t="str">
        <f aca="false">IF($B382="","",$B382&amp;"|"&amp;$C382&amp;"|"&amp;$F382)</f>
        <v/>
      </c>
      <c r="B382" s="5"/>
      <c r="C382" s="5"/>
      <c r="D382" s="5"/>
      <c r="E382" s="5"/>
      <c r="F382" s="5"/>
      <c r="G382" s="5"/>
      <c r="H382" s="5"/>
      <c r="I382" s="5"/>
      <c r="J382" s="20"/>
      <c r="K382" s="20"/>
      <c r="L382" s="28"/>
      <c r="M382" s="20"/>
      <c r="N382" s="28"/>
      <c r="O382" s="19"/>
      <c r="P382" s="19"/>
      <c r="Q382" s="5"/>
      <c r="R382" s="19"/>
      <c r="S382" s="5"/>
      <c r="T382" s="20"/>
      <c r="U382" s="20"/>
      <c r="V382" s="29"/>
      <c r="W382" s="28"/>
      <c r="X382" s="19"/>
      <c r="Y382" s="19"/>
      <c r="Z382" s="5"/>
      <c r="AA382" s="19"/>
      <c r="AB382" s="5"/>
      <c r="AC382" s="5"/>
      <c r="AD382" s="5"/>
      <c r="AE382" s="5"/>
      <c r="AF382" s="30"/>
      <c r="AG382" s="30"/>
      <c r="AH382" s="30"/>
      <c r="AI382" s="30"/>
      <c r="AJ382" s="30"/>
      <c r="AK382" s="30"/>
      <c r="AL382" s="28"/>
      <c r="AM382" s="5"/>
      <c r="AN382" s="19"/>
      <c r="AO382" s="19"/>
      <c r="AP382" s="5"/>
      <c r="AQ382" s="5"/>
      <c r="AR382" s="5"/>
      <c r="AS382" s="5"/>
      <c r="AT382" s="5"/>
      <c r="AU382" s="19"/>
      <c r="AV382" s="19"/>
      <c r="AW382" s="5"/>
      <c r="AX382" s="5"/>
      <c r="AY382" s="19"/>
      <c r="AZ382" s="30"/>
      <c r="BA382" s="5"/>
      <c r="BB382" s="31" t="str">
        <f aca="false">IF(OR($T382="",$M382=""),"",$T382-$M382)</f>
        <v/>
      </c>
      <c r="BC382" s="32" t="str">
        <f aca="false">IF(OR($T382="",$M382="",$M382=0),"",($T382-$M382)/$M382)</f>
        <v/>
      </c>
      <c r="BD382" s="31" t="str">
        <f aca="false">IF(OR($U382="",$M382=""),"",$U382-$M382)</f>
        <v/>
      </c>
      <c r="BE382" s="32" t="str">
        <f aca="false">IF(OR($U382="",$M382="",$M382=0),"",($U382-$M382)/$M382)</f>
        <v/>
      </c>
      <c r="BF382" s="32" t="str">
        <f aca="false">IF(OR($U382="",$J382="",$J382=0),"",($U382-$J382)/$J382)</f>
        <v/>
      </c>
      <c r="BG382" s="32" t="str">
        <f aca="false">IF(OR($M382="",$K382="",$K382=0),"",($M382-$K382)/$K382)</f>
        <v/>
      </c>
      <c r="BH382" s="32" t="str">
        <f aca="false">IF(OR($W382="",$N382="",$N382=0),"",($W382-$N382)/$N382)</f>
        <v/>
      </c>
      <c r="BI382" s="33" t="str">
        <f aca="false">IF(OR($O382="",$X382=""),"",$O382-$X382)</f>
        <v/>
      </c>
      <c r="BJ382" s="33" t="str">
        <f aca="false">IF(OR($P382="",$Y382=""),"",$P382-$Y382)</f>
        <v/>
      </c>
      <c r="BK382" s="34" t="str">
        <f aca="false">IF(OR($AN382="",$AO382="",$AN382=0),"",$AO382/$AN382)</f>
        <v/>
      </c>
      <c r="BL382" s="34" t="str">
        <f aca="false">IF(OR($AU382="",$AV382="",$AU382=0),"",$AV382/$AU382)</f>
        <v/>
      </c>
      <c r="BM382" s="7" t="str">
        <f aca="false">IF($Z382="","",IF(AND($Z382="Y",$AB382&lt;&gt;"N",$AC382&lt;&gt;"Y"),"Y","N"))</f>
        <v/>
      </c>
      <c r="BN382" s="7" t="str">
        <f aca="false">IF($AH382="","",IF($Z382&lt;&gt;"Y","undefined",IF($AH382&lt;=1,"Y","N")))</f>
        <v/>
      </c>
      <c r="BO382" s="7" t="str">
        <f aca="false">IF($AH382="","",IF($Z382&lt;&gt;"Y","undefined",IF($AH382&lt;=10,"Y","N")))</f>
        <v/>
      </c>
      <c r="BP382" s="7" t="str">
        <f aca="false">IF($AH382="","",IF($Z382&lt;&gt;"Y","undefined",IF($AH382&lt;=100,"Y","N")))</f>
        <v/>
      </c>
    </row>
    <row r="383" customFormat="false" ht="15" hidden="false" customHeight="false" outlineLevel="0" collapsed="false">
      <c r="A383" s="7" t="str">
        <f aca="false">IF($B383="","",$B383&amp;"|"&amp;$C383&amp;"|"&amp;$F383)</f>
        <v/>
      </c>
      <c r="B383" s="5"/>
      <c r="C383" s="5"/>
      <c r="D383" s="5"/>
      <c r="E383" s="5"/>
      <c r="F383" s="5"/>
      <c r="G383" s="5"/>
      <c r="H383" s="5"/>
      <c r="I383" s="5"/>
      <c r="J383" s="20"/>
      <c r="K383" s="20"/>
      <c r="L383" s="28"/>
      <c r="M383" s="20"/>
      <c r="N383" s="28"/>
      <c r="O383" s="19"/>
      <c r="P383" s="19"/>
      <c r="Q383" s="5"/>
      <c r="R383" s="19"/>
      <c r="S383" s="5"/>
      <c r="T383" s="20"/>
      <c r="U383" s="20"/>
      <c r="V383" s="29"/>
      <c r="W383" s="28"/>
      <c r="X383" s="19"/>
      <c r="Y383" s="19"/>
      <c r="Z383" s="5"/>
      <c r="AA383" s="19"/>
      <c r="AB383" s="5"/>
      <c r="AC383" s="5"/>
      <c r="AD383" s="5"/>
      <c r="AE383" s="5"/>
      <c r="AF383" s="30"/>
      <c r="AG383" s="30"/>
      <c r="AH383" s="30"/>
      <c r="AI383" s="30"/>
      <c r="AJ383" s="30"/>
      <c r="AK383" s="30"/>
      <c r="AL383" s="28"/>
      <c r="AM383" s="5"/>
      <c r="AN383" s="19"/>
      <c r="AO383" s="19"/>
      <c r="AP383" s="5"/>
      <c r="AQ383" s="5"/>
      <c r="AR383" s="5"/>
      <c r="AS383" s="5"/>
      <c r="AT383" s="5"/>
      <c r="AU383" s="19"/>
      <c r="AV383" s="19"/>
      <c r="AW383" s="5"/>
      <c r="AX383" s="5"/>
      <c r="AY383" s="19"/>
      <c r="AZ383" s="30"/>
      <c r="BA383" s="5"/>
      <c r="BB383" s="31" t="str">
        <f aca="false">IF(OR($T383="",$M383=""),"",$T383-$M383)</f>
        <v/>
      </c>
      <c r="BC383" s="32" t="str">
        <f aca="false">IF(OR($T383="",$M383="",$M383=0),"",($T383-$M383)/$M383)</f>
        <v/>
      </c>
      <c r="BD383" s="31" t="str">
        <f aca="false">IF(OR($U383="",$M383=""),"",$U383-$M383)</f>
        <v/>
      </c>
      <c r="BE383" s="32" t="str">
        <f aca="false">IF(OR($U383="",$M383="",$M383=0),"",($U383-$M383)/$M383)</f>
        <v/>
      </c>
      <c r="BF383" s="32" t="str">
        <f aca="false">IF(OR($U383="",$J383="",$J383=0),"",($U383-$J383)/$J383)</f>
        <v/>
      </c>
      <c r="BG383" s="32" t="str">
        <f aca="false">IF(OR($M383="",$K383="",$K383=0),"",($M383-$K383)/$K383)</f>
        <v/>
      </c>
      <c r="BH383" s="32" t="str">
        <f aca="false">IF(OR($W383="",$N383="",$N383=0),"",($W383-$N383)/$N383)</f>
        <v/>
      </c>
      <c r="BI383" s="33" t="str">
        <f aca="false">IF(OR($O383="",$X383=""),"",$O383-$X383)</f>
        <v/>
      </c>
      <c r="BJ383" s="33" t="str">
        <f aca="false">IF(OR($P383="",$Y383=""),"",$P383-$Y383)</f>
        <v/>
      </c>
      <c r="BK383" s="34" t="str">
        <f aca="false">IF(OR($AN383="",$AO383="",$AN383=0),"",$AO383/$AN383)</f>
        <v/>
      </c>
      <c r="BL383" s="34" t="str">
        <f aca="false">IF(OR($AU383="",$AV383="",$AU383=0),"",$AV383/$AU383)</f>
        <v/>
      </c>
      <c r="BM383" s="7" t="str">
        <f aca="false">IF($Z383="","",IF(AND($Z383="Y",$AB383&lt;&gt;"N",$AC383&lt;&gt;"Y"),"Y","N"))</f>
        <v/>
      </c>
      <c r="BN383" s="7" t="str">
        <f aca="false">IF($AH383="","",IF($Z383&lt;&gt;"Y","undefined",IF($AH383&lt;=1,"Y","N")))</f>
        <v/>
      </c>
      <c r="BO383" s="7" t="str">
        <f aca="false">IF($AH383="","",IF($Z383&lt;&gt;"Y","undefined",IF($AH383&lt;=10,"Y","N")))</f>
        <v/>
      </c>
      <c r="BP383" s="7" t="str">
        <f aca="false">IF($AH383="","",IF($Z383&lt;&gt;"Y","undefined",IF($AH383&lt;=100,"Y","N")))</f>
        <v/>
      </c>
    </row>
    <row r="384" customFormat="false" ht="15" hidden="false" customHeight="false" outlineLevel="0" collapsed="false">
      <c r="A384" s="7" t="str">
        <f aca="false">IF($B384="","",$B384&amp;"|"&amp;$C384&amp;"|"&amp;$F384)</f>
        <v/>
      </c>
      <c r="B384" s="5"/>
      <c r="C384" s="5"/>
      <c r="D384" s="5"/>
      <c r="E384" s="5"/>
      <c r="F384" s="5"/>
      <c r="G384" s="5"/>
      <c r="H384" s="5"/>
      <c r="I384" s="5"/>
      <c r="J384" s="20"/>
      <c r="K384" s="20"/>
      <c r="L384" s="28"/>
      <c r="M384" s="20"/>
      <c r="N384" s="28"/>
      <c r="O384" s="19"/>
      <c r="P384" s="19"/>
      <c r="Q384" s="5"/>
      <c r="R384" s="19"/>
      <c r="S384" s="5"/>
      <c r="T384" s="20"/>
      <c r="U384" s="20"/>
      <c r="V384" s="29"/>
      <c r="W384" s="28"/>
      <c r="X384" s="19"/>
      <c r="Y384" s="19"/>
      <c r="Z384" s="5"/>
      <c r="AA384" s="19"/>
      <c r="AB384" s="5"/>
      <c r="AC384" s="5"/>
      <c r="AD384" s="5"/>
      <c r="AE384" s="5"/>
      <c r="AF384" s="30"/>
      <c r="AG384" s="30"/>
      <c r="AH384" s="30"/>
      <c r="AI384" s="30"/>
      <c r="AJ384" s="30"/>
      <c r="AK384" s="30"/>
      <c r="AL384" s="28"/>
      <c r="AM384" s="5"/>
      <c r="AN384" s="19"/>
      <c r="AO384" s="19"/>
      <c r="AP384" s="5"/>
      <c r="AQ384" s="5"/>
      <c r="AR384" s="5"/>
      <c r="AS384" s="5"/>
      <c r="AT384" s="5"/>
      <c r="AU384" s="19"/>
      <c r="AV384" s="19"/>
      <c r="AW384" s="5"/>
      <c r="AX384" s="5"/>
      <c r="AY384" s="19"/>
      <c r="AZ384" s="30"/>
      <c r="BA384" s="5"/>
      <c r="BB384" s="31" t="str">
        <f aca="false">IF(OR($T384="",$M384=""),"",$T384-$M384)</f>
        <v/>
      </c>
      <c r="BC384" s="32" t="str">
        <f aca="false">IF(OR($T384="",$M384="",$M384=0),"",($T384-$M384)/$M384)</f>
        <v/>
      </c>
      <c r="BD384" s="31" t="str">
        <f aca="false">IF(OR($U384="",$M384=""),"",$U384-$M384)</f>
        <v/>
      </c>
      <c r="BE384" s="32" t="str">
        <f aca="false">IF(OR($U384="",$M384="",$M384=0),"",($U384-$M384)/$M384)</f>
        <v/>
      </c>
      <c r="BF384" s="32" t="str">
        <f aca="false">IF(OR($U384="",$J384="",$J384=0),"",($U384-$J384)/$J384)</f>
        <v/>
      </c>
      <c r="BG384" s="32" t="str">
        <f aca="false">IF(OR($M384="",$K384="",$K384=0),"",($M384-$K384)/$K384)</f>
        <v/>
      </c>
      <c r="BH384" s="32" t="str">
        <f aca="false">IF(OR($W384="",$N384="",$N384=0),"",($W384-$N384)/$N384)</f>
        <v/>
      </c>
      <c r="BI384" s="33" t="str">
        <f aca="false">IF(OR($O384="",$X384=""),"",$O384-$X384)</f>
        <v/>
      </c>
      <c r="BJ384" s="33" t="str">
        <f aca="false">IF(OR($P384="",$Y384=""),"",$P384-$Y384)</f>
        <v/>
      </c>
      <c r="BK384" s="34" t="str">
        <f aca="false">IF(OR($AN384="",$AO384="",$AN384=0),"",$AO384/$AN384)</f>
        <v/>
      </c>
      <c r="BL384" s="34" t="str">
        <f aca="false">IF(OR($AU384="",$AV384="",$AU384=0),"",$AV384/$AU384)</f>
        <v/>
      </c>
      <c r="BM384" s="7" t="str">
        <f aca="false">IF($Z384="","",IF(AND($Z384="Y",$AB384&lt;&gt;"N",$AC384&lt;&gt;"Y"),"Y","N"))</f>
        <v/>
      </c>
      <c r="BN384" s="7" t="str">
        <f aca="false">IF($AH384="","",IF($Z384&lt;&gt;"Y","undefined",IF($AH384&lt;=1,"Y","N")))</f>
        <v/>
      </c>
      <c r="BO384" s="7" t="str">
        <f aca="false">IF($AH384="","",IF($Z384&lt;&gt;"Y","undefined",IF($AH384&lt;=10,"Y","N")))</f>
        <v/>
      </c>
      <c r="BP384" s="7" t="str">
        <f aca="false">IF($AH384="","",IF($Z384&lt;&gt;"Y","undefined",IF($AH384&lt;=100,"Y","N")))</f>
        <v/>
      </c>
    </row>
    <row r="385" customFormat="false" ht="15" hidden="false" customHeight="false" outlineLevel="0" collapsed="false">
      <c r="A385" s="7" t="str">
        <f aca="false">IF($B385="","",$B385&amp;"|"&amp;$C385&amp;"|"&amp;$F385)</f>
        <v/>
      </c>
      <c r="B385" s="5"/>
      <c r="C385" s="5"/>
      <c r="D385" s="5"/>
      <c r="E385" s="5"/>
      <c r="F385" s="5"/>
      <c r="G385" s="5"/>
      <c r="H385" s="5"/>
      <c r="I385" s="5"/>
      <c r="J385" s="20"/>
      <c r="K385" s="20"/>
      <c r="L385" s="28"/>
      <c r="M385" s="20"/>
      <c r="N385" s="28"/>
      <c r="O385" s="19"/>
      <c r="P385" s="19"/>
      <c r="Q385" s="5"/>
      <c r="R385" s="19"/>
      <c r="S385" s="5"/>
      <c r="T385" s="20"/>
      <c r="U385" s="20"/>
      <c r="V385" s="29"/>
      <c r="W385" s="28"/>
      <c r="X385" s="19"/>
      <c r="Y385" s="19"/>
      <c r="Z385" s="5"/>
      <c r="AA385" s="19"/>
      <c r="AB385" s="5"/>
      <c r="AC385" s="5"/>
      <c r="AD385" s="5"/>
      <c r="AE385" s="5"/>
      <c r="AF385" s="30"/>
      <c r="AG385" s="30"/>
      <c r="AH385" s="30"/>
      <c r="AI385" s="30"/>
      <c r="AJ385" s="30"/>
      <c r="AK385" s="30"/>
      <c r="AL385" s="28"/>
      <c r="AM385" s="5"/>
      <c r="AN385" s="19"/>
      <c r="AO385" s="19"/>
      <c r="AP385" s="5"/>
      <c r="AQ385" s="5"/>
      <c r="AR385" s="5"/>
      <c r="AS385" s="5"/>
      <c r="AT385" s="5"/>
      <c r="AU385" s="19"/>
      <c r="AV385" s="19"/>
      <c r="AW385" s="5"/>
      <c r="AX385" s="5"/>
      <c r="AY385" s="19"/>
      <c r="AZ385" s="30"/>
      <c r="BA385" s="5"/>
      <c r="BB385" s="31" t="str">
        <f aca="false">IF(OR($T385="",$M385=""),"",$T385-$M385)</f>
        <v/>
      </c>
      <c r="BC385" s="32" t="str">
        <f aca="false">IF(OR($T385="",$M385="",$M385=0),"",($T385-$M385)/$M385)</f>
        <v/>
      </c>
      <c r="BD385" s="31" t="str">
        <f aca="false">IF(OR($U385="",$M385=""),"",$U385-$M385)</f>
        <v/>
      </c>
      <c r="BE385" s="32" t="str">
        <f aca="false">IF(OR($U385="",$M385="",$M385=0),"",($U385-$M385)/$M385)</f>
        <v/>
      </c>
      <c r="BF385" s="32" t="str">
        <f aca="false">IF(OR($U385="",$J385="",$J385=0),"",($U385-$J385)/$J385)</f>
        <v/>
      </c>
      <c r="BG385" s="32" t="str">
        <f aca="false">IF(OR($M385="",$K385="",$K385=0),"",($M385-$K385)/$K385)</f>
        <v/>
      </c>
      <c r="BH385" s="32" t="str">
        <f aca="false">IF(OR($W385="",$N385="",$N385=0),"",($W385-$N385)/$N385)</f>
        <v/>
      </c>
      <c r="BI385" s="33" t="str">
        <f aca="false">IF(OR($O385="",$X385=""),"",$O385-$X385)</f>
        <v/>
      </c>
      <c r="BJ385" s="33" t="str">
        <f aca="false">IF(OR($P385="",$Y385=""),"",$P385-$Y385)</f>
        <v/>
      </c>
      <c r="BK385" s="34" t="str">
        <f aca="false">IF(OR($AN385="",$AO385="",$AN385=0),"",$AO385/$AN385)</f>
        <v/>
      </c>
      <c r="BL385" s="34" t="str">
        <f aca="false">IF(OR($AU385="",$AV385="",$AU385=0),"",$AV385/$AU385)</f>
        <v/>
      </c>
      <c r="BM385" s="7" t="str">
        <f aca="false">IF($Z385="","",IF(AND($Z385="Y",$AB385&lt;&gt;"N",$AC385&lt;&gt;"Y"),"Y","N"))</f>
        <v/>
      </c>
      <c r="BN385" s="7" t="str">
        <f aca="false">IF($AH385="","",IF($Z385&lt;&gt;"Y","undefined",IF($AH385&lt;=1,"Y","N")))</f>
        <v/>
      </c>
      <c r="BO385" s="7" t="str">
        <f aca="false">IF($AH385="","",IF($Z385&lt;&gt;"Y","undefined",IF($AH385&lt;=10,"Y","N")))</f>
        <v/>
      </c>
      <c r="BP385" s="7" t="str">
        <f aca="false">IF($AH385="","",IF($Z385&lt;&gt;"Y","undefined",IF($AH385&lt;=100,"Y","N")))</f>
        <v/>
      </c>
    </row>
    <row r="386" customFormat="false" ht="15" hidden="false" customHeight="false" outlineLevel="0" collapsed="false">
      <c r="A386" s="7" t="str">
        <f aca="false">IF($B386="","",$B386&amp;"|"&amp;$C386&amp;"|"&amp;$F386)</f>
        <v/>
      </c>
      <c r="B386" s="5"/>
      <c r="C386" s="5"/>
      <c r="D386" s="5"/>
      <c r="E386" s="5"/>
      <c r="F386" s="5"/>
      <c r="G386" s="5"/>
      <c r="H386" s="5"/>
      <c r="I386" s="5"/>
      <c r="J386" s="20"/>
      <c r="K386" s="20"/>
      <c r="L386" s="28"/>
      <c r="M386" s="20"/>
      <c r="N386" s="28"/>
      <c r="O386" s="19"/>
      <c r="P386" s="19"/>
      <c r="Q386" s="5"/>
      <c r="R386" s="19"/>
      <c r="S386" s="5"/>
      <c r="T386" s="20"/>
      <c r="U386" s="20"/>
      <c r="V386" s="29"/>
      <c r="W386" s="28"/>
      <c r="X386" s="19"/>
      <c r="Y386" s="19"/>
      <c r="Z386" s="5"/>
      <c r="AA386" s="19"/>
      <c r="AB386" s="5"/>
      <c r="AC386" s="5"/>
      <c r="AD386" s="5"/>
      <c r="AE386" s="5"/>
      <c r="AF386" s="30"/>
      <c r="AG386" s="30"/>
      <c r="AH386" s="30"/>
      <c r="AI386" s="30"/>
      <c r="AJ386" s="30"/>
      <c r="AK386" s="30"/>
      <c r="AL386" s="28"/>
      <c r="AM386" s="5"/>
      <c r="AN386" s="19"/>
      <c r="AO386" s="19"/>
      <c r="AP386" s="5"/>
      <c r="AQ386" s="5"/>
      <c r="AR386" s="5"/>
      <c r="AS386" s="5"/>
      <c r="AT386" s="5"/>
      <c r="AU386" s="19"/>
      <c r="AV386" s="19"/>
      <c r="AW386" s="5"/>
      <c r="AX386" s="5"/>
      <c r="AY386" s="19"/>
      <c r="AZ386" s="30"/>
      <c r="BA386" s="5"/>
      <c r="BB386" s="31" t="str">
        <f aca="false">IF(OR($T386="",$M386=""),"",$T386-$M386)</f>
        <v/>
      </c>
      <c r="BC386" s="32" t="str">
        <f aca="false">IF(OR($T386="",$M386="",$M386=0),"",($T386-$M386)/$M386)</f>
        <v/>
      </c>
      <c r="BD386" s="31" t="str">
        <f aca="false">IF(OR($U386="",$M386=""),"",$U386-$M386)</f>
        <v/>
      </c>
      <c r="BE386" s="32" t="str">
        <f aca="false">IF(OR($U386="",$M386="",$M386=0),"",($U386-$M386)/$M386)</f>
        <v/>
      </c>
      <c r="BF386" s="32" t="str">
        <f aca="false">IF(OR($U386="",$J386="",$J386=0),"",($U386-$J386)/$J386)</f>
        <v/>
      </c>
      <c r="BG386" s="32" t="str">
        <f aca="false">IF(OR($M386="",$K386="",$K386=0),"",($M386-$K386)/$K386)</f>
        <v/>
      </c>
      <c r="BH386" s="32" t="str">
        <f aca="false">IF(OR($W386="",$N386="",$N386=0),"",($W386-$N386)/$N386)</f>
        <v/>
      </c>
      <c r="BI386" s="33" t="str">
        <f aca="false">IF(OR($O386="",$X386=""),"",$O386-$X386)</f>
        <v/>
      </c>
      <c r="BJ386" s="33" t="str">
        <f aca="false">IF(OR($P386="",$Y386=""),"",$P386-$Y386)</f>
        <v/>
      </c>
      <c r="BK386" s="34" t="str">
        <f aca="false">IF(OR($AN386="",$AO386="",$AN386=0),"",$AO386/$AN386)</f>
        <v/>
      </c>
      <c r="BL386" s="34" t="str">
        <f aca="false">IF(OR($AU386="",$AV386="",$AU386=0),"",$AV386/$AU386)</f>
        <v/>
      </c>
      <c r="BM386" s="7" t="str">
        <f aca="false">IF($Z386="","",IF(AND($Z386="Y",$AB386&lt;&gt;"N",$AC386&lt;&gt;"Y"),"Y","N"))</f>
        <v/>
      </c>
      <c r="BN386" s="7" t="str">
        <f aca="false">IF($AH386="","",IF($Z386&lt;&gt;"Y","undefined",IF($AH386&lt;=1,"Y","N")))</f>
        <v/>
      </c>
      <c r="BO386" s="7" t="str">
        <f aca="false">IF($AH386="","",IF($Z386&lt;&gt;"Y","undefined",IF($AH386&lt;=10,"Y","N")))</f>
        <v/>
      </c>
      <c r="BP386" s="7" t="str">
        <f aca="false">IF($AH386="","",IF($Z386&lt;&gt;"Y","undefined",IF($AH386&lt;=100,"Y","N")))</f>
        <v/>
      </c>
    </row>
    <row r="387" customFormat="false" ht="15" hidden="false" customHeight="false" outlineLevel="0" collapsed="false">
      <c r="A387" s="7" t="str">
        <f aca="false">IF($B387="","",$B387&amp;"|"&amp;$C387&amp;"|"&amp;$F387)</f>
        <v/>
      </c>
      <c r="B387" s="5"/>
      <c r="C387" s="5"/>
      <c r="D387" s="5"/>
      <c r="E387" s="5"/>
      <c r="F387" s="5"/>
      <c r="G387" s="5"/>
      <c r="H387" s="5"/>
      <c r="I387" s="5"/>
      <c r="J387" s="20"/>
      <c r="K387" s="20"/>
      <c r="L387" s="28"/>
      <c r="M387" s="20"/>
      <c r="N387" s="28"/>
      <c r="O387" s="19"/>
      <c r="P387" s="19"/>
      <c r="Q387" s="5"/>
      <c r="R387" s="19"/>
      <c r="S387" s="5"/>
      <c r="T387" s="20"/>
      <c r="U387" s="20"/>
      <c r="V387" s="29"/>
      <c r="W387" s="28"/>
      <c r="X387" s="19"/>
      <c r="Y387" s="19"/>
      <c r="Z387" s="5"/>
      <c r="AA387" s="19"/>
      <c r="AB387" s="5"/>
      <c r="AC387" s="5"/>
      <c r="AD387" s="5"/>
      <c r="AE387" s="5"/>
      <c r="AF387" s="30"/>
      <c r="AG387" s="30"/>
      <c r="AH387" s="30"/>
      <c r="AI387" s="30"/>
      <c r="AJ387" s="30"/>
      <c r="AK387" s="30"/>
      <c r="AL387" s="28"/>
      <c r="AM387" s="5"/>
      <c r="AN387" s="19"/>
      <c r="AO387" s="19"/>
      <c r="AP387" s="5"/>
      <c r="AQ387" s="5"/>
      <c r="AR387" s="5"/>
      <c r="AS387" s="5"/>
      <c r="AT387" s="5"/>
      <c r="AU387" s="19"/>
      <c r="AV387" s="19"/>
      <c r="AW387" s="5"/>
      <c r="AX387" s="5"/>
      <c r="AY387" s="19"/>
      <c r="AZ387" s="30"/>
      <c r="BA387" s="5"/>
      <c r="BB387" s="31" t="str">
        <f aca="false">IF(OR($T387="",$M387=""),"",$T387-$M387)</f>
        <v/>
      </c>
      <c r="BC387" s="32" t="str">
        <f aca="false">IF(OR($T387="",$M387="",$M387=0),"",($T387-$M387)/$M387)</f>
        <v/>
      </c>
      <c r="BD387" s="31" t="str">
        <f aca="false">IF(OR($U387="",$M387=""),"",$U387-$M387)</f>
        <v/>
      </c>
      <c r="BE387" s="32" t="str">
        <f aca="false">IF(OR($U387="",$M387="",$M387=0),"",($U387-$M387)/$M387)</f>
        <v/>
      </c>
      <c r="BF387" s="32" t="str">
        <f aca="false">IF(OR($U387="",$J387="",$J387=0),"",($U387-$J387)/$J387)</f>
        <v/>
      </c>
      <c r="BG387" s="32" t="str">
        <f aca="false">IF(OR($M387="",$K387="",$K387=0),"",($M387-$K387)/$K387)</f>
        <v/>
      </c>
      <c r="BH387" s="32" t="str">
        <f aca="false">IF(OR($W387="",$N387="",$N387=0),"",($W387-$N387)/$N387)</f>
        <v/>
      </c>
      <c r="BI387" s="33" t="str">
        <f aca="false">IF(OR($O387="",$X387=""),"",$O387-$X387)</f>
        <v/>
      </c>
      <c r="BJ387" s="33" t="str">
        <f aca="false">IF(OR($P387="",$Y387=""),"",$P387-$Y387)</f>
        <v/>
      </c>
      <c r="BK387" s="34" t="str">
        <f aca="false">IF(OR($AN387="",$AO387="",$AN387=0),"",$AO387/$AN387)</f>
        <v/>
      </c>
      <c r="BL387" s="34" t="str">
        <f aca="false">IF(OR($AU387="",$AV387="",$AU387=0),"",$AV387/$AU387)</f>
        <v/>
      </c>
      <c r="BM387" s="7" t="str">
        <f aca="false">IF($Z387="","",IF(AND($Z387="Y",$AB387&lt;&gt;"N",$AC387&lt;&gt;"Y"),"Y","N"))</f>
        <v/>
      </c>
      <c r="BN387" s="7" t="str">
        <f aca="false">IF($AH387="","",IF($Z387&lt;&gt;"Y","undefined",IF($AH387&lt;=1,"Y","N")))</f>
        <v/>
      </c>
      <c r="BO387" s="7" t="str">
        <f aca="false">IF($AH387="","",IF($Z387&lt;&gt;"Y","undefined",IF($AH387&lt;=10,"Y","N")))</f>
        <v/>
      </c>
      <c r="BP387" s="7" t="str">
        <f aca="false">IF($AH387="","",IF($Z387&lt;&gt;"Y","undefined",IF($AH387&lt;=100,"Y","N")))</f>
        <v/>
      </c>
    </row>
    <row r="388" customFormat="false" ht="15" hidden="false" customHeight="false" outlineLevel="0" collapsed="false">
      <c r="A388" s="7" t="str">
        <f aca="false">IF($B388="","",$B388&amp;"|"&amp;$C388&amp;"|"&amp;$F388)</f>
        <v/>
      </c>
      <c r="B388" s="5"/>
      <c r="C388" s="5"/>
      <c r="D388" s="5"/>
      <c r="E388" s="5"/>
      <c r="F388" s="5"/>
      <c r="G388" s="5"/>
      <c r="H388" s="5"/>
      <c r="I388" s="5"/>
      <c r="J388" s="20"/>
      <c r="K388" s="20"/>
      <c r="L388" s="28"/>
      <c r="M388" s="20"/>
      <c r="N388" s="28"/>
      <c r="O388" s="19"/>
      <c r="P388" s="19"/>
      <c r="Q388" s="5"/>
      <c r="R388" s="19"/>
      <c r="S388" s="5"/>
      <c r="T388" s="20"/>
      <c r="U388" s="20"/>
      <c r="V388" s="29"/>
      <c r="W388" s="28"/>
      <c r="X388" s="19"/>
      <c r="Y388" s="19"/>
      <c r="Z388" s="5"/>
      <c r="AA388" s="19"/>
      <c r="AB388" s="5"/>
      <c r="AC388" s="5"/>
      <c r="AD388" s="5"/>
      <c r="AE388" s="5"/>
      <c r="AF388" s="30"/>
      <c r="AG388" s="30"/>
      <c r="AH388" s="30"/>
      <c r="AI388" s="30"/>
      <c r="AJ388" s="30"/>
      <c r="AK388" s="30"/>
      <c r="AL388" s="28"/>
      <c r="AM388" s="5"/>
      <c r="AN388" s="19"/>
      <c r="AO388" s="19"/>
      <c r="AP388" s="5"/>
      <c r="AQ388" s="5"/>
      <c r="AR388" s="5"/>
      <c r="AS388" s="5"/>
      <c r="AT388" s="5"/>
      <c r="AU388" s="19"/>
      <c r="AV388" s="19"/>
      <c r="AW388" s="5"/>
      <c r="AX388" s="5"/>
      <c r="AY388" s="19"/>
      <c r="AZ388" s="30"/>
      <c r="BA388" s="5"/>
      <c r="BB388" s="31" t="str">
        <f aca="false">IF(OR($T388="",$M388=""),"",$T388-$M388)</f>
        <v/>
      </c>
      <c r="BC388" s="32" t="str">
        <f aca="false">IF(OR($T388="",$M388="",$M388=0),"",($T388-$M388)/$M388)</f>
        <v/>
      </c>
      <c r="BD388" s="31" t="str">
        <f aca="false">IF(OR($U388="",$M388=""),"",$U388-$M388)</f>
        <v/>
      </c>
      <c r="BE388" s="32" t="str">
        <f aca="false">IF(OR($U388="",$M388="",$M388=0),"",($U388-$M388)/$M388)</f>
        <v/>
      </c>
      <c r="BF388" s="32" t="str">
        <f aca="false">IF(OR($U388="",$J388="",$J388=0),"",($U388-$J388)/$J388)</f>
        <v/>
      </c>
      <c r="BG388" s="32" t="str">
        <f aca="false">IF(OR($M388="",$K388="",$K388=0),"",($M388-$K388)/$K388)</f>
        <v/>
      </c>
      <c r="BH388" s="32" t="str">
        <f aca="false">IF(OR($W388="",$N388="",$N388=0),"",($W388-$N388)/$N388)</f>
        <v/>
      </c>
      <c r="BI388" s="33" t="str">
        <f aca="false">IF(OR($O388="",$X388=""),"",$O388-$X388)</f>
        <v/>
      </c>
      <c r="BJ388" s="33" t="str">
        <f aca="false">IF(OR($P388="",$Y388=""),"",$P388-$Y388)</f>
        <v/>
      </c>
      <c r="BK388" s="34" t="str">
        <f aca="false">IF(OR($AN388="",$AO388="",$AN388=0),"",$AO388/$AN388)</f>
        <v/>
      </c>
      <c r="BL388" s="34" t="str">
        <f aca="false">IF(OR($AU388="",$AV388="",$AU388=0),"",$AV388/$AU388)</f>
        <v/>
      </c>
      <c r="BM388" s="7" t="str">
        <f aca="false">IF($Z388="","",IF(AND($Z388="Y",$AB388&lt;&gt;"N",$AC388&lt;&gt;"Y"),"Y","N"))</f>
        <v/>
      </c>
      <c r="BN388" s="7" t="str">
        <f aca="false">IF($AH388="","",IF($Z388&lt;&gt;"Y","undefined",IF($AH388&lt;=1,"Y","N")))</f>
        <v/>
      </c>
      <c r="BO388" s="7" t="str">
        <f aca="false">IF($AH388="","",IF($Z388&lt;&gt;"Y","undefined",IF($AH388&lt;=10,"Y","N")))</f>
        <v/>
      </c>
      <c r="BP388" s="7" t="str">
        <f aca="false">IF($AH388="","",IF($Z388&lt;&gt;"Y","undefined",IF($AH388&lt;=100,"Y","N")))</f>
        <v/>
      </c>
    </row>
    <row r="389" customFormat="false" ht="15" hidden="false" customHeight="false" outlineLevel="0" collapsed="false">
      <c r="A389" s="7" t="str">
        <f aca="false">IF($B389="","",$B389&amp;"|"&amp;$C389&amp;"|"&amp;$F389)</f>
        <v/>
      </c>
      <c r="B389" s="5"/>
      <c r="C389" s="5"/>
      <c r="D389" s="5"/>
      <c r="E389" s="5"/>
      <c r="F389" s="5"/>
      <c r="G389" s="5"/>
      <c r="H389" s="5"/>
      <c r="I389" s="5"/>
      <c r="J389" s="20"/>
      <c r="K389" s="20"/>
      <c r="L389" s="28"/>
      <c r="M389" s="20"/>
      <c r="N389" s="28"/>
      <c r="O389" s="19"/>
      <c r="P389" s="19"/>
      <c r="Q389" s="5"/>
      <c r="R389" s="19"/>
      <c r="S389" s="5"/>
      <c r="T389" s="20"/>
      <c r="U389" s="20"/>
      <c r="V389" s="29"/>
      <c r="W389" s="28"/>
      <c r="X389" s="19"/>
      <c r="Y389" s="19"/>
      <c r="Z389" s="5"/>
      <c r="AA389" s="19"/>
      <c r="AB389" s="5"/>
      <c r="AC389" s="5"/>
      <c r="AD389" s="5"/>
      <c r="AE389" s="5"/>
      <c r="AF389" s="30"/>
      <c r="AG389" s="30"/>
      <c r="AH389" s="30"/>
      <c r="AI389" s="30"/>
      <c r="AJ389" s="30"/>
      <c r="AK389" s="30"/>
      <c r="AL389" s="28"/>
      <c r="AM389" s="5"/>
      <c r="AN389" s="19"/>
      <c r="AO389" s="19"/>
      <c r="AP389" s="5"/>
      <c r="AQ389" s="5"/>
      <c r="AR389" s="5"/>
      <c r="AS389" s="5"/>
      <c r="AT389" s="5"/>
      <c r="AU389" s="19"/>
      <c r="AV389" s="19"/>
      <c r="AW389" s="5"/>
      <c r="AX389" s="5"/>
      <c r="AY389" s="19"/>
      <c r="AZ389" s="30"/>
      <c r="BA389" s="5"/>
      <c r="BB389" s="31" t="str">
        <f aca="false">IF(OR($T389="",$M389=""),"",$T389-$M389)</f>
        <v/>
      </c>
      <c r="BC389" s="32" t="str">
        <f aca="false">IF(OR($T389="",$M389="",$M389=0),"",($T389-$M389)/$M389)</f>
        <v/>
      </c>
      <c r="BD389" s="31" t="str">
        <f aca="false">IF(OR($U389="",$M389=""),"",$U389-$M389)</f>
        <v/>
      </c>
      <c r="BE389" s="32" t="str">
        <f aca="false">IF(OR($U389="",$M389="",$M389=0),"",($U389-$M389)/$M389)</f>
        <v/>
      </c>
      <c r="BF389" s="32" t="str">
        <f aca="false">IF(OR($U389="",$J389="",$J389=0),"",($U389-$J389)/$J389)</f>
        <v/>
      </c>
      <c r="BG389" s="32" t="str">
        <f aca="false">IF(OR($M389="",$K389="",$K389=0),"",($M389-$K389)/$K389)</f>
        <v/>
      </c>
      <c r="BH389" s="32" t="str">
        <f aca="false">IF(OR($W389="",$N389="",$N389=0),"",($W389-$N389)/$N389)</f>
        <v/>
      </c>
      <c r="BI389" s="33" t="str">
        <f aca="false">IF(OR($O389="",$X389=""),"",$O389-$X389)</f>
        <v/>
      </c>
      <c r="BJ389" s="33" t="str">
        <f aca="false">IF(OR($P389="",$Y389=""),"",$P389-$Y389)</f>
        <v/>
      </c>
      <c r="BK389" s="34" t="str">
        <f aca="false">IF(OR($AN389="",$AO389="",$AN389=0),"",$AO389/$AN389)</f>
        <v/>
      </c>
      <c r="BL389" s="34" t="str">
        <f aca="false">IF(OR($AU389="",$AV389="",$AU389=0),"",$AV389/$AU389)</f>
        <v/>
      </c>
      <c r="BM389" s="7" t="str">
        <f aca="false">IF($Z389="","",IF(AND($Z389="Y",$AB389&lt;&gt;"N",$AC389&lt;&gt;"Y"),"Y","N"))</f>
        <v/>
      </c>
      <c r="BN389" s="7" t="str">
        <f aca="false">IF($AH389="","",IF($Z389&lt;&gt;"Y","undefined",IF($AH389&lt;=1,"Y","N")))</f>
        <v/>
      </c>
      <c r="BO389" s="7" t="str">
        <f aca="false">IF($AH389="","",IF($Z389&lt;&gt;"Y","undefined",IF($AH389&lt;=10,"Y","N")))</f>
        <v/>
      </c>
      <c r="BP389" s="7" t="str">
        <f aca="false">IF($AH389="","",IF($Z389&lt;&gt;"Y","undefined",IF($AH389&lt;=100,"Y","N")))</f>
        <v/>
      </c>
    </row>
    <row r="390" customFormat="false" ht="15" hidden="false" customHeight="false" outlineLevel="0" collapsed="false">
      <c r="A390" s="7" t="str">
        <f aca="false">IF($B390="","",$B390&amp;"|"&amp;$C390&amp;"|"&amp;$F390)</f>
        <v/>
      </c>
      <c r="B390" s="5"/>
      <c r="C390" s="5"/>
      <c r="D390" s="5"/>
      <c r="E390" s="5"/>
      <c r="F390" s="5"/>
      <c r="G390" s="5"/>
      <c r="H390" s="5"/>
      <c r="I390" s="5"/>
      <c r="J390" s="20"/>
      <c r="K390" s="20"/>
      <c r="L390" s="28"/>
      <c r="M390" s="20"/>
      <c r="N390" s="28"/>
      <c r="O390" s="19"/>
      <c r="P390" s="19"/>
      <c r="Q390" s="5"/>
      <c r="R390" s="19"/>
      <c r="S390" s="5"/>
      <c r="T390" s="20"/>
      <c r="U390" s="20"/>
      <c r="V390" s="29"/>
      <c r="W390" s="28"/>
      <c r="X390" s="19"/>
      <c r="Y390" s="19"/>
      <c r="Z390" s="5"/>
      <c r="AA390" s="19"/>
      <c r="AB390" s="5"/>
      <c r="AC390" s="5"/>
      <c r="AD390" s="5"/>
      <c r="AE390" s="5"/>
      <c r="AF390" s="30"/>
      <c r="AG390" s="30"/>
      <c r="AH390" s="30"/>
      <c r="AI390" s="30"/>
      <c r="AJ390" s="30"/>
      <c r="AK390" s="30"/>
      <c r="AL390" s="28"/>
      <c r="AM390" s="5"/>
      <c r="AN390" s="19"/>
      <c r="AO390" s="19"/>
      <c r="AP390" s="5"/>
      <c r="AQ390" s="5"/>
      <c r="AR390" s="5"/>
      <c r="AS390" s="5"/>
      <c r="AT390" s="5"/>
      <c r="AU390" s="19"/>
      <c r="AV390" s="19"/>
      <c r="AW390" s="5"/>
      <c r="AX390" s="5"/>
      <c r="AY390" s="19"/>
      <c r="AZ390" s="30"/>
      <c r="BA390" s="5"/>
      <c r="BB390" s="31" t="str">
        <f aca="false">IF(OR($T390="",$M390=""),"",$T390-$M390)</f>
        <v/>
      </c>
      <c r="BC390" s="32" t="str">
        <f aca="false">IF(OR($T390="",$M390="",$M390=0),"",($T390-$M390)/$M390)</f>
        <v/>
      </c>
      <c r="BD390" s="31" t="str">
        <f aca="false">IF(OR($U390="",$M390=""),"",$U390-$M390)</f>
        <v/>
      </c>
      <c r="BE390" s="32" t="str">
        <f aca="false">IF(OR($U390="",$M390="",$M390=0),"",($U390-$M390)/$M390)</f>
        <v/>
      </c>
      <c r="BF390" s="32" t="str">
        <f aca="false">IF(OR($U390="",$J390="",$J390=0),"",($U390-$J390)/$J390)</f>
        <v/>
      </c>
      <c r="BG390" s="32" t="str">
        <f aca="false">IF(OR($M390="",$K390="",$K390=0),"",($M390-$K390)/$K390)</f>
        <v/>
      </c>
      <c r="BH390" s="32" t="str">
        <f aca="false">IF(OR($W390="",$N390="",$N390=0),"",($W390-$N390)/$N390)</f>
        <v/>
      </c>
      <c r="BI390" s="33" t="str">
        <f aca="false">IF(OR($O390="",$X390=""),"",$O390-$X390)</f>
        <v/>
      </c>
      <c r="BJ390" s="33" t="str">
        <f aca="false">IF(OR($P390="",$Y390=""),"",$P390-$Y390)</f>
        <v/>
      </c>
      <c r="BK390" s="34" t="str">
        <f aca="false">IF(OR($AN390="",$AO390="",$AN390=0),"",$AO390/$AN390)</f>
        <v/>
      </c>
      <c r="BL390" s="34" t="str">
        <f aca="false">IF(OR($AU390="",$AV390="",$AU390=0),"",$AV390/$AU390)</f>
        <v/>
      </c>
      <c r="BM390" s="7" t="str">
        <f aca="false">IF($Z390="","",IF(AND($Z390="Y",$AB390&lt;&gt;"N",$AC390&lt;&gt;"Y"),"Y","N"))</f>
        <v/>
      </c>
      <c r="BN390" s="7" t="str">
        <f aca="false">IF($AH390="","",IF($Z390&lt;&gt;"Y","undefined",IF($AH390&lt;=1,"Y","N")))</f>
        <v/>
      </c>
      <c r="BO390" s="7" t="str">
        <f aca="false">IF($AH390="","",IF($Z390&lt;&gt;"Y","undefined",IF($AH390&lt;=10,"Y","N")))</f>
        <v/>
      </c>
      <c r="BP390" s="7" t="str">
        <f aca="false">IF($AH390="","",IF($Z390&lt;&gt;"Y","undefined",IF($AH390&lt;=100,"Y","N")))</f>
        <v/>
      </c>
    </row>
    <row r="391" customFormat="false" ht="15" hidden="false" customHeight="false" outlineLevel="0" collapsed="false">
      <c r="A391" s="7" t="str">
        <f aca="false">IF($B391="","",$B391&amp;"|"&amp;$C391&amp;"|"&amp;$F391)</f>
        <v/>
      </c>
      <c r="B391" s="5"/>
      <c r="C391" s="5"/>
      <c r="D391" s="5"/>
      <c r="E391" s="5"/>
      <c r="F391" s="5"/>
      <c r="G391" s="5"/>
      <c r="H391" s="5"/>
      <c r="I391" s="5"/>
      <c r="J391" s="20"/>
      <c r="K391" s="20"/>
      <c r="L391" s="28"/>
      <c r="M391" s="20"/>
      <c r="N391" s="28"/>
      <c r="O391" s="19"/>
      <c r="P391" s="19"/>
      <c r="Q391" s="5"/>
      <c r="R391" s="19"/>
      <c r="S391" s="5"/>
      <c r="T391" s="20"/>
      <c r="U391" s="20"/>
      <c r="V391" s="29"/>
      <c r="W391" s="28"/>
      <c r="X391" s="19"/>
      <c r="Y391" s="19"/>
      <c r="Z391" s="5"/>
      <c r="AA391" s="19"/>
      <c r="AB391" s="5"/>
      <c r="AC391" s="5"/>
      <c r="AD391" s="5"/>
      <c r="AE391" s="5"/>
      <c r="AF391" s="30"/>
      <c r="AG391" s="30"/>
      <c r="AH391" s="30"/>
      <c r="AI391" s="30"/>
      <c r="AJ391" s="30"/>
      <c r="AK391" s="30"/>
      <c r="AL391" s="28"/>
      <c r="AM391" s="5"/>
      <c r="AN391" s="19"/>
      <c r="AO391" s="19"/>
      <c r="AP391" s="5"/>
      <c r="AQ391" s="5"/>
      <c r="AR391" s="5"/>
      <c r="AS391" s="5"/>
      <c r="AT391" s="5"/>
      <c r="AU391" s="19"/>
      <c r="AV391" s="19"/>
      <c r="AW391" s="5"/>
      <c r="AX391" s="5"/>
      <c r="AY391" s="19"/>
      <c r="AZ391" s="30"/>
      <c r="BA391" s="5"/>
      <c r="BB391" s="31" t="str">
        <f aca="false">IF(OR($T391="",$M391=""),"",$T391-$M391)</f>
        <v/>
      </c>
      <c r="BC391" s="32" t="str">
        <f aca="false">IF(OR($T391="",$M391="",$M391=0),"",($T391-$M391)/$M391)</f>
        <v/>
      </c>
      <c r="BD391" s="31" t="str">
        <f aca="false">IF(OR($U391="",$M391=""),"",$U391-$M391)</f>
        <v/>
      </c>
      <c r="BE391" s="32" t="str">
        <f aca="false">IF(OR($U391="",$M391="",$M391=0),"",($U391-$M391)/$M391)</f>
        <v/>
      </c>
      <c r="BF391" s="32" t="str">
        <f aca="false">IF(OR($U391="",$J391="",$J391=0),"",($U391-$J391)/$J391)</f>
        <v/>
      </c>
      <c r="BG391" s="32" t="str">
        <f aca="false">IF(OR($M391="",$K391="",$K391=0),"",($M391-$K391)/$K391)</f>
        <v/>
      </c>
      <c r="BH391" s="32" t="str">
        <f aca="false">IF(OR($W391="",$N391="",$N391=0),"",($W391-$N391)/$N391)</f>
        <v/>
      </c>
      <c r="BI391" s="33" t="str">
        <f aca="false">IF(OR($O391="",$X391=""),"",$O391-$X391)</f>
        <v/>
      </c>
      <c r="BJ391" s="33" t="str">
        <f aca="false">IF(OR($P391="",$Y391=""),"",$P391-$Y391)</f>
        <v/>
      </c>
      <c r="BK391" s="34" t="str">
        <f aca="false">IF(OR($AN391="",$AO391="",$AN391=0),"",$AO391/$AN391)</f>
        <v/>
      </c>
      <c r="BL391" s="34" t="str">
        <f aca="false">IF(OR($AU391="",$AV391="",$AU391=0),"",$AV391/$AU391)</f>
        <v/>
      </c>
      <c r="BM391" s="7" t="str">
        <f aca="false">IF($Z391="","",IF(AND($Z391="Y",$AB391&lt;&gt;"N",$AC391&lt;&gt;"Y"),"Y","N"))</f>
        <v/>
      </c>
      <c r="BN391" s="7" t="str">
        <f aca="false">IF($AH391="","",IF($Z391&lt;&gt;"Y","undefined",IF($AH391&lt;=1,"Y","N")))</f>
        <v/>
      </c>
      <c r="BO391" s="7" t="str">
        <f aca="false">IF($AH391="","",IF($Z391&lt;&gt;"Y","undefined",IF($AH391&lt;=10,"Y","N")))</f>
        <v/>
      </c>
      <c r="BP391" s="7" t="str">
        <f aca="false">IF($AH391="","",IF($Z391&lt;&gt;"Y","undefined",IF($AH391&lt;=100,"Y","N")))</f>
        <v/>
      </c>
    </row>
    <row r="392" customFormat="false" ht="15" hidden="false" customHeight="false" outlineLevel="0" collapsed="false">
      <c r="A392" s="7" t="str">
        <f aca="false">IF($B392="","",$B392&amp;"|"&amp;$C392&amp;"|"&amp;$F392)</f>
        <v/>
      </c>
      <c r="B392" s="5"/>
      <c r="C392" s="5"/>
      <c r="D392" s="5"/>
      <c r="E392" s="5"/>
      <c r="F392" s="5"/>
      <c r="G392" s="5"/>
      <c r="H392" s="5"/>
      <c r="I392" s="5"/>
      <c r="J392" s="20"/>
      <c r="K392" s="20"/>
      <c r="L392" s="28"/>
      <c r="M392" s="20"/>
      <c r="N392" s="28"/>
      <c r="O392" s="19"/>
      <c r="P392" s="19"/>
      <c r="Q392" s="5"/>
      <c r="R392" s="19"/>
      <c r="S392" s="5"/>
      <c r="T392" s="20"/>
      <c r="U392" s="20"/>
      <c r="V392" s="29"/>
      <c r="W392" s="28"/>
      <c r="X392" s="19"/>
      <c r="Y392" s="19"/>
      <c r="Z392" s="5"/>
      <c r="AA392" s="19"/>
      <c r="AB392" s="5"/>
      <c r="AC392" s="5"/>
      <c r="AD392" s="5"/>
      <c r="AE392" s="5"/>
      <c r="AF392" s="30"/>
      <c r="AG392" s="30"/>
      <c r="AH392" s="30"/>
      <c r="AI392" s="30"/>
      <c r="AJ392" s="30"/>
      <c r="AK392" s="30"/>
      <c r="AL392" s="28"/>
      <c r="AM392" s="5"/>
      <c r="AN392" s="19"/>
      <c r="AO392" s="19"/>
      <c r="AP392" s="5"/>
      <c r="AQ392" s="5"/>
      <c r="AR392" s="5"/>
      <c r="AS392" s="5"/>
      <c r="AT392" s="5"/>
      <c r="AU392" s="19"/>
      <c r="AV392" s="19"/>
      <c r="AW392" s="5"/>
      <c r="AX392" s="5"/>
      <c r="AY392" s="19"/>
      <c r="AZ392" s="30"/>
      <c r="BA392" s="5"/>
      <c r="BB392" s="31" t="str">
        <f aca="false">IF(OR($T392="",$M392=""),"",$T392-$M392)</f>
        <v/>
      </c>
      <c r="BC392" s="32" t="str">
        <f aca="false">IF(OR($T392="",$M392="",$M392=0),"",($T392-$M392)/$M392)</f>
        <v/>
      </c>
      <c r="BD392" s="31" t="str">
        <f aca="false">IF(OR($U392="",$M392=""),"",$U392-$M392)</f>
        <v/>
      </c>
      <c r="BE392" s="32" t="str">
        <f aca="false">IF(OR($U392="",$M392="",$M392=0),"",($U392-$M392)/$M392)</f>
        <v/>
      </c>
      <c r="BF392" s="32" t="str">
        <f aca="false">IF(OR($U392="",$J392="",$J392=0),"",($U392-$J392)/$J392)</f>
        <v/>
      </c>
      <c r="BG392" s="32" t="str">
        <f aca="false">IF(OR($M392="",$K392="",$K392=0),"",($M392-$K392)/$K392)</f>
        <v/>
      </c>
      <c r="BH392" s="32" t="str">
        <f aca="false">IF(OR($W392="",$N392="",$N392=0),"",($W392-$N392)/$N392)</f>
        <v/>
      </c>
      <c r="BI392" s="33" t="str">
        <f aca="false">IF(OR($O392="",$X392=""),"",$O392-$X392)</f>
        <v/>
      </c>
      <c r="BJ392" s="33" t="str">
        <f aca="false">IF(OR($P392="",$Y392=""),"",$P392-$Y392)</f>
        <v/>
      </c>
      <c r="BK392" s="34" t="str">
        <f aca="false">IF(OR($AN392="",$AO392="",$AN392=0),"",$AO392/$AN392)</f>
        <v/>
      </c>
      <c r="BL392" s="34" t="str">
        <f aca="false">IF(OR($AU392="",$AV392="",$AU392=0),"",$AV392/$AU392)</f>
        <v/>
      </c>
      <c r="BM392" s="7" t="str">
        <f aca="false">IF($Z392="","",IF(AND($Z392="Y",$AB392&lt;&gt;"N",$AC392&lt;&gt;"Y"),"Y","N"))</f>
        <v/>
      </c>
      <c r="BN392" s="7" t="str">
        <f aca="false">IF($AH392="","",IF($Z392&lt;&gt;"Y","undefined",IF($AH392&lt;=1,"Y","N")))</f>
        <v/>
      </c>
      <c r="BO392" s="7" t="str">
        <f aca="false">IF($AH392="","",IF($Z392&lt;&gt;"Y","undefined",IF($AH392&lt;=10,"Y","N")))</f>
        <v/>
      </c>
      <c r="BP392" s="7" t="str">
        <f aca="false">IF($AH392="","",IF($Z392&lt;&gt;"Y","undefined",IF($AH392&lt;=100,"Y","N")))</f>
        <v/>
      </c>
    </row>
    <row r="393" customFormat="false" ht="15" hidden="false" customHeight="false" outlineLevel="0" collapsed="false">
      <c r="A393" s="7" t="str">
        <f aca="false">IF($B393="","",$B393&amp;"|"&amp;$C393&amp;"|"&amp;$F393)</f>
        <v/>
      </c>
      <c r="B393" s="5"/>
      <c r="C393" s="5"/>
      <c r="D393" s="5"/>
      <c r="E393" s="5"/>
      <c r="F393" s="5"/>
      <c r="G393" s="5"/>
      <c r="H393" s="5"/>
      <c r="I393" s="5"/>
      <c r="J393" s="20"/>
      <c r="K393" s="20"/>
      <c r="L393" s="28"/>
      <c r="M393" s="20"/>
      <c r="N393" s="28"/>
      <c r="O393" s="19"/>
      <c r="P393" s="19"/>
      <c r="Q393" s="5"/>
      <c r="R393" s="19"/>
      <c r="S393" s="5"/>
      <c r="T393" s="20"/>
      <c r="U393" s="20"/>
      <c r="V393" s="29"/>
      <c r="W393" s="28"/>
      <c r="X393" s="19"/>
      <c r="Y393" s="19"/>
      <c r="Z393" s="5"/>
      <c r="AA393" s="19"/>
      <c r="AB393" s="5"/>
      <c r="AC393" s="5"/>
      <c r="AD393" s="5"/>
      <c r="AE393" s="5"/>
      <c r="AF393" s="30"/>
      <c r="AG393" s="30"/>
      <c r="AH393" s="30"/>
      <c r="AI393" s="30"/>
      <c r="AJ393" s="30"/>
      <c r="AK393" s="30"/>
      <c r="AL393" s="28"/>
      <c r="AM393" s="5"/>
      <c r="AN393" s="19"/>
      <c r="AO393" s="19"/>
      <c r="AP393" s="5"/>
      <c r="AQ393" s="5"/>
      <c r="AR393" s="5"/>
      <c r="AS393" s="5"/>
      <c r="AT393" s="5"/>
      <c r="AU393" s="19"/>
      <c r="AV393" s="19"/>
      <c r="AW393" s="5"/>
      <c r="AX393" s="5"/>
      <c r="AY393" s="19"/>
      <c r="AZ393" s="30"/>
      <c r="BA393" s="5"/>
      <c r="BB393" s="31" t="str">
        <f aca="false">IF(OR($T393="",$M393=""),"",$T393-$M393)</f>
        <v/>
      </c>
      <c r="BC393" s="32" t="str">
        <f aca="false">IF(OR($T393="",$M393="",$M393=0),"",($T393-$M393)/$M393)</f>
        <v/>
      </c>
      <c r="BD393" s="31" t="str">
        <f aca="false">IF(OR($U393="",$M393=""),"",$U393-$M393)</f>
        <v/>
      </c>
      <c r="BE393" s="32" t="str">
        <f aca="false">IF(OR($U393="",$M393="",$M393=0),"",($U393-$M393)/$M393)</f>
        <v/>
      </c>
      <c r="BF393" s="32" t="str">
        <f aca="false">IF(OR($U393="",$J393="",$J393=0),"",($U393-$J393)/$J393)</f>
        <v/>
      </c>
      <c r="BG393" s="32" t="str">
        <f aca="false">IF(OR($M393="",$K393="",$K393=0),"",($M393-$K393)/$K393)</f>
        <v/>
      </c>
      <c r="BH393" s="32" t="str">
        <f aca="false">IF(OR($W393="",$N393="",$N393=0),"",($W393-$N393)/$N393)</f>
        <v/>
      </c>
      <c r="BI393" s="33" t="str">
        <f aca="false">IF(OR($O393="",$X393=""),"",$O393-$X393)</f>
        <v/>
      </c>
      <c r="BJ393" s="33" t="str">
        <f aca="false">IF(OR($P393="",$Y393=""),"",$P393-$Y393)</f>
        <v/>
      </c>
      <c r="BK393" s="34" t="str">
        <f aca="false">IF(OR($AN393="",$AO393="",$AN393=0),"",$AO393/$AN393)</f>
        <v/>
      </c>
      <c r="BL393" s="34" t="str">
        <f aca="false">IF(OR($AU393="",$AV393="",$AU393=0),"",$AV393/$AU393)</f>
        <v/>
      </c>
      <c r="BM393" s="7" t="str">
        <f aca="false">IF($Z393="","",IF(AND($Z393="Y",$AB393&lt;&gt;"N",$AC393&lt;&gt;"Y"),"Y","N"))</f>
        <v/>
      </c>
      <c r="BN393" s="7" t="str">
        <f aca="false">IF($AH393="","",IF($Z393&lt;&gt;"Y","undefined",IF($AH393&lt;=1,"Y","N")))</f>
        <v/>
      </c>
      <c r="BO393" s="7" t="str">
        <f aca="false">IF($AH393="","",IF($Z393&lt;&gt;"Y","undefined",IF($AH393&lt;=10,"Y","N")))</f>
        <v/>
      </c>
      <c r="BP393" s="7" t="str">
        <f aca="false">IF($AH393="","",IF($Z393&lt;&gt;"Y","undefined",IF($AH393&lt;=100,"Y","N")))</f>
        <v/>
      </c>
    </row>
    <row r="394" customFormat="false" ht="15" hidden="false" customHeight="false" outlineLevel="0" collapsed="false">
      <c r="A394" s="7" t="str">
        <f aca="false">IF($B394="","",$B394&amp;"|"&amp;$C394&amp;"|"&amp;$F394)</f>
        <v/>
      </c>
      <c r="B394" s="5"/>
      <c r="C394" s="5"/>
      <c r="D394" s="5"/>
      <c r="E394" s="5"/>
      <c r="F394" s="5"/>
      <c r="G394" s="5"/>
      <c r="H394" s="5"/>
      <c r="I394" s="5"/>
      <c r="J394" s="20"/>
      <c r="K394" s="20"/>
      <c r="L394" s="28"/>
      <c r="M394" s="20"/>
      <c r="N394" s="28"/>
      <c r="O394" s="19"/>
      <c r="P394" s="19"/>
      <c r="Q394" s="5"/>
      <c r="R394" s="19"/>
      <c r="S394" s="5"/>
      <c r="T394" s="20"/>
      <c r="U394" s="20"/>
      <c r="V394" s="29"/>
      <c r="W394" s="28"/>
      <c r="X394" s="19"/>
      <c r="Y394" s="19"/>
      <c r="Z394" s="5"/>
      <c r="AA394" s="19"/>
      <c r="AB394" s="5"/>
      <c r="AC394" s="5"/>
      <c r="AD394" s="5"/>
      <c r="AE394" s="5"/>
      <c r="AF394" s="30"/>
      <c r="AG394" s="30"/>
      <c r="AH394" s="30"/>
      <c r="AI394" s="30"/>
      <c r="AJ394" s="30"/>
      <c r="AK394" s="30"/>
      <c r="AL394" s="28"/>
      <c r="AM394" s="5"/>
      <c r="AN394" s="19"/>
      <c r="AO394" s="19"/>
      <c r="AP394" s="5"/>
      <c r="AQ394" s="5"/>
      <c r="AR394" s="5"/>
      <c r="AS394" s="5"/>
      <c r="AT394" s="5"/>
      <c r="AU394" s="19"/>
      <c r="AV394" s="19"/>
      <c r="AW394" s="5"/>
      <c r="AX394" s="5"/>
      <c r="AY394" s="19"/>
      <c r="AZ394" s="30"/>
      <c r="BA394" s="5"/>
      <c r="BB394" s="31" t="str">
        <f aca="false">IF(OR($T394="",$M394=""),"",$T394-$M394)</f>
        <v/>
      </c>
      <c r="BC394" s="32" t="str">
        <f aca="false">IF(OR($T394="",$M394="",$M394=0),"",($T394-$M394)/$M394)</f>
        <v/>
      </c>
      <c r="BD394" s="31" t="str">
        <f aca="false">IF(OR($U394="",$M394=""),"",$U394-$M394)</f>
        <v/>
      </c>
      <c r="BE394" s="32" t="str">
        <f aca="false">IF(OR($U394="",$M394="",$M394=0),"",($U394-$M394)/$M394)</f>
        <v/>
      </c>
      <c r="BF394" s="32" t="str">
        <f aca="false">IF(OR($U394="",$J394="",$J394=0),"",($U394-$J394)/$J394)</f>
        <v/>
      </c>
      <c r="BG394" s="32" t="str">
        <f aca="false">IF(OR($M394="",$K394="",$K394=0),"",($M394-$K394)/$K394)</f>
        <v/>
      </c>
      <c r="BH394" s="32" t="str">
        <f aca="false">IF(OR($W394="",$N394="",$N394=0),"",($W394-$N394)/$N394)</f>
        <v/>
      </c>
      <c r="BI394" s="33" t="str">
        <f aca="false">IF(OR($O394="",$X394=""),"",$O394-$X394)</f>
        <v/>
      </c>
      <c r="BJ394" s="33" t="str">
        <f aca="false">IF(OR($P394="",$Y394=""),"",$P394-$Y394)</f>
        <v/>
      </c>
      <c r="BK394" s="34" t="str">
        <f aca="false">IF(OR($AN394="",$AO394="",$AN394=0),"",$AO394/$AN394)</f>
        <v/>
      </c>
      <c r="BL394" s="34" t="str">
        <f aca="false">IF(OR($AU394="",$AV394="",$AU394=0),"",$AV394/$AU394)</f>
        <v/>
      </c>
      <c r="BM394" s="7" t="str">
        <f aca="false">IF($Z394="","",IF(AND($Z394="Y",$AB394&lt;&gt;"N",$AC394&lt;&gt;"Y"),"Y","N"))</f>
        <v/>
      </c>
      <c r="BN394" s="7" t="str">
        <f aca="false">IF($AH394="","",IF($Z394&lt;&gt;"Y","undefined",IF($AH394&lt;=1,"Y","N")))</f>
        <v/>
      </c>
      <c r="BO394" s="7" t="str">
        <f aca="false">IF($AH394="","",IF($Z394&lt;&gt;"Y","undefined",IF($AH394&lt;=10,"Y","N")))</f>
        <v/>
      </c>
      <c r="BP394" s="7" t="str">
        <f aca="false">IF($AH394="","",IF($Z394&lt;&gt;"Y","undefined",IF($AH394&lt;=100,"Y","N")))</f>
        <v/>
      </c>
    </row>
    <row r="395" customFormat="false" ht="15" hidden="false" customHeight="false" outlineLevel="0" collapsed="false">
      <c r="A395" s="7" t="str">
        <f aca="false">IF($B395="","",$B395&amp;"|"&amp;$C395&amp;"|"&amp;$F395)</f>
        <v/>
      </c>
      <c r="B395" s="5"/>
      <c r="C395" s="5"/>
      <c r="D395" s="5"/>
      <c r="E395" s="5"/>
      <c r="F395" s="5"/>
      <c r="G395" s="5"/>
      <c r="H395" s="5"/>
      <c r="I395" s="5"/>
      <c r="J395" s="20"/>
      <c r="K395" s="20"/>
      <c r="L395" s="28"/>
      <c r="M395" s="20"/>
      <c r="N395" s="28"/>
      <c r="O395" s="19"/>
      <c r="P395" s="19"/>
      <c r="Q395" s="5"/>
      <c r="R395" s="19"/>
      <c r="S395" s="5"/>
      <c r="T395" s="20"/>
      <c r="U395" s="20"/>
      <c r="V395" s="29"/>
      <c r="W395" s="28"/>
      <c r="X395" s="19"/>
      <c r="Y395" s="19"/>
      <c r="Z395" s="5"/>
      <c r="AA395" s="19"/>
      <c r="AB395" s="5"/>
      <c r="AC395" s="5"/>
      <c r="AD395" s="5"/>
      <c r="AE395" s="5"/>
      <c r="AF395" s="30"/>
      <c r="AG395" s="30"/>
      <c r="AH395" s="30"/>
      <c r="AI395" s="30"/>
      <c r="AJ395" s="30"/>
      <c r="AK395" s="30"/>
      <c r="AL395" s="28"/>
      <c r="AM395" s="5"/>
      <c r="AN395" s="19"/>
      <c r="AO395" s="19"/>
      <c r="AP395" s="5"/>
      <c r="AQ395" s="5"/>
      <c r="AR395" s="5"/>
      <c r="AS395" s="5"/>
      <c r="AT395" s="5"/>
      <c r="AU395" s="19"/>
      <c r="AV395" s="19"/>
      <c r="AW395" s="5"/>
      <c r="AX395" s="5"/>
      <c r="AY395" s="19"/>
      <c r="AZ395" s="30"/>
      <c r="BA395" s="5"/>
      <c r="BB395" s="31" t="str">
        <f aca="false">IF(OR($T395="",$M395=""),"",$T395-$M395)</f>
        <v/>
      </c>
      <c r="BC395" s="32" t="str">
        <f aca="false">IF(OR($T395="",$M395="",$M395=0),"",($T395-$M395)/$M395)</f>
        <v/>
      </c>
      <c r="BD395" s="31" t="str">
        <f aca="false">IF(OR($U395="",$M395=""),"",$U395-$M395)</f>
        <v/>
      </c>
      <c r="BE395" s="32" t="str">
        <f aca="false">IF(OR($U395="",$M395="",$M395=0),"",($U395-$M395)/$M395)</f>
        <v/>
      </c>
      <c r="BF395" s="32" t="str">
        <f aca="false">IF(OR($U395="",$J395="",$J395=0),"",($U395-$J395)/$J395)</f>
        <v/>
      </c>
      <c r="BG395" s="32" t="str">
        <f aca="false">IF(OR($M395="",$K395="",$K395=0),"",($M395-$K395)/$K395)</f>
        <v/>
      </c>
      <c r="BH395" s="32" t="str">
        <f aca="false">IF(OR($W395="",$N395="",$N395=0),"",($W395-$N395)/$N395)</f>
        <v/>
      </c>
      <c r="BI395" s="33" t="str">
        <f aca="false">IF(OR($O395="",$X395=""),"",$O395-$X395)</f>
        <v/>
      </c>
      <c r="BJ395" s="33" t="str">
        <f aca="false">IF(OR($P395="",$Y395=""),"",$P395-$Y395)</f>
        <v/>
      </c>
      <c r="BK395" s="34" t="str">
        <f aca="false">IF(OR($AN395="",$AO395="",$AN395=0),"",$AO395/$AN395)</f>
        <v/>
      </c>
      <c r="BL395" s="34" t="str">
        <f aca="false">IF(OR($AU395="",$AV395="",$AU395=0),"",$AV395/$AU395)</f>
        <v/>
      </c>
      <c r="BM395" s="7" t="str">
        <f aca="false">IF($Z395="","",IF(AND($Z395="Y",$AB395&lt;&gt;"N",$AC395&lt;&gt;"Y"),"Y","N"))</f>
        <v/>
      </c>
      <c r="BN395" s="7" t="str">
        <f aca="false">IF($AH395="","",IF($Z395&lt;&gt;"Y","undefined",IF($AH395&lt;=1,"Y","N")))</f>
        <v/>
      </c>
      <c r="BO395" s="7" t="str">
        <f aca="false">IF($AH395="","",IF($Z395&lt;&gt;"Y","undefined",IF($AH395&lt;=10,"Y","N")))</f>
        <v/>
      </c>
      <c r="BP395" s="7" t="str">
        <f aca="false">IF($AH395="","",IF($Z395&lt;&gt;"Y","undefined",IF($AH395&lt;=100,"Y","N")))</f>
        <v/>
      </c>
    </row>
    <row r="396" customFormat="false" ht="15" hidden="false" customHeight="false" outlineLevel="0" collapsed="false">
      <c r="A396" s="7" t="str">
        <f aca="false">IF($B396="","",$B396&amp;"|"&amp;$C396&amp;"|"&amp;$F396)</f>
        <v/>
      </c>
      <c r="B396" s="5"/>
      <c r="C396" s="5"/>
      <c r="D396" s="5"/>
      <c r="E396" s="5"/>
      <c r="F396" s="5"/>
      <c r="G396" s="5"/>
      <c r="H396" s="5"/>
      <c r="I396" s="5"/>
      <c r="J396" s="20"/>
      <c r="K396" s="20"/>
      <c r="L396" s="28"/>
      <c r="M396" s="20"/>
      <c r="N396" s="28"/>
      <c r="O396" s="19"/>
      <c r="P396" s="19"/>
      <c r="Q396" s="5"/>
      <c r="R396" s="19"/>
      <c r="S396" s="5"/>
      <c r="T396" s="20"/>
      <c r="U396" s="20"/>
      <c r="V396" s="29"/>
      <c r="W396" s="28"/>
      <c r="X396" s="19"/>
      <c r="Y396" s="19"/>
      <c r="Z396" s="5"/>
      <c r="AA396" s="19"/>
      <c r="AB396" s="5"/>
      <c r="AC396" s="5"/>
      <c r="AD396" s="5"/>
      <c r="AE396" s="5"/>
      <c r="AF396" s="30"/>
      <c r="AG396" s="30"/>
      <c r="AH396" s="30"/>
      <c r="AI396" s="30"/>
      <c r="AJ396" s="30"/>
      <c r="AK396" s="30"/>
      <c r="AL396" s="28"/>
      <c r="AM396" s="5"/>
      <c r="AN396" s="19"/>
      <c r="AO396" s="19"/>
      <c r="AP396" s="5"/>
      <c r="AQ396" s="5"/>
      <c r="AR396" s="5"/>
      <c r="AS396" s="5"/>
      <c r="AT396" s="5"/>
      <c r="AU396" s="19"/>
      <c r="AV396" s="19"/>
      <c r="AW396" s="5"/>
      <c r="AX396" s="5"/>
      <c r="AY396" s="19"/>
      <c r="AZ396" s="30"/>
      <c r="BA396" s="5"/>
      <c r="BB396" s="31" t="str">
        <f aca="false">IF(OR($T396="",$M396=""),"",$T396-$M396)</f>
        <v/>
      </c>
      <c r="BC396" s="32" t="str">
        <f aca="false">IF(OR($T396="",$M396="",$M396=0),"",($T396-$M396)/$M396)</f>
        <v/>
      </c>
      <c r="BD396" s="31" t="str">
        <f aca="false">IF(OR($U396="",$M396=""),"",$U396-$M396)</f>
        <v/>
      </c>
      <c r="BE396" s="32" t="str">
        <f aca="false">IF(OR($U396="",$M396="",$M396=0),"",($U396-$M396)/$M396)</f>
        <v/>
      </c>
      <c r="BF396" s="32" t="str">
        <f aca="false">IF(OR($U396="",$J396="",$J396=0),"",($U396-$J396)/$J396)</f>
        <v/>
      </c>
      <c r="BG396" s="32" t="str">
        <f aca="false">IF(OR($M396="",$K396="",$K396=0),"",($M396-$K396)/$K396)</f>
        <v/>
      </c>
      <c r="BH396" s="32" t="str">
        <f aca="false">IF(OR($W396="",$N396="",$N396=0),"",($W396-$N396)/$N396)</f>
        <v/>
      </c>
      <c r="BI396" s="33" t="str">
        <f aca="false">IF(OR($O396="",$X396=""),"",$O396-$X396)</f>
        <v/>
      </c>
      <c r="BJ396" s="33" t="str">
        <f aca="false">IF(OR($P396="",$Y396=""),"",$P396-$Y396)</f>
        <v/>
      </c>
      <c r="BK396" s="34" t="str">
        <f aca="false">IF(OR($AN396="",$AO396="",$AN396=0),"",$AO396/$AN396)</f>
        <v/>
      </c>
      <c r="BL396" s="34" t="str">
        <f aca="false">IF(OR($AU396="",$AV396="",$AU396=0),"",$AV396/$AU396)</f>
        <v/>
      </c>
      <c r="BM396" s="7" t="str">
        <f aca="false">IF($Z396="","",IF(AND($Z396="Y",$AB396&lt;&gt;"N",$AC396&lt;&gt;"Y"),"Y","N"))</f>
        <v/>
      </c>
      <c r="BN396" s="7" t="str">
        <f aca="false">IF($AH396="","",IF($Z396&lt;&gt;"Y","undefined",IF($AH396&lt;=1,"Y","N")))</f>
        <v/>
      </c>
      <c r="BO396" s="7" t="str">
        <f aca="false">IF($AH396="","",IF($Z396&lt;&gt;"Y","undefined",IF($AH396&lt;=10,"Y","N")))</f>
        <v/>
      </c>
      <c r="BP396" s="7" t="str">
        <f aca="false">IF($AH396="","",IF($Z396&lt;&gt;"Y","undefined",IF($AH396&lt;=100,"Y","N")))</f>
        <v/>
      </c>
    </row>
    <row r="397" customFormat="false" ht="15" hidden="false" customHeight="false" outlineLevel="0" collapsed="false">
      <c r="A397" s="7" t="str">
        <f aca="false">IF($B397="","",$B397&amp;"|"&amp;$C397&amp;"|"&amp;$F397)</f>
        <v/>
      </c>
      <c r="B397" s="5"/>
      <c r="C397" s="5"/>
      <c r="D397" s="5"/>
      <c r="E397" s="5"/>
      <c r="F397" s="5"/>
      <c r="G397" s="5"/>
      <c r="H397" s="5"/>
      <c r="I397" s="5"/>
      <c r="J397" s="20"/>
      <c r="K397" s="20"/>
      <c r="L397" s="28"/>
      <c r="M397" s="20"/>
      <c r="N397" s="28"/>
      <c r="O397" s="19"/>
      <c r="P397" s="19"/>
      <c r="Q397" s="5"/>
      <c r="R397" s="19"/>
      <c r="S397" s="5"/>
      <c r="T397" s="20"/>
      <c r="U397" s="20"/>
      <c r="V397" s="29"/>
      <c r="W397" s="28"/>
      <c r="X397" s="19"/>
      <c r="Y397" s="19"/>
      <c r="Z397" s="5"/>
      <c r="AA397" s="19"/>
      <c r="AB397" s="5"/>
      <c r="AC397" s="5"/>
      <c r="AD397" s="5"/>
      <c r="AE397" s="5"/>
      <c r="AF397" s="30"/>
      <c r="AG397" s="30"/>
      <c r="AH397" s="30"/>
      <c r="AI397" s="30"/>
      <c r="AJ397" s="30"/>
      <c r="AK397" s="30"/>
      <c r="AL397" s="28"/>
      <c r="AM397" s="5"/>
      <c r="AN397" s="19"/>
      <c r="AO397" s="19"/>
      <c r="AP397" s="5"/>
      <c r="AQ397" s="5"/>
      <c r="AR397" s="5"/>
      <c r="AS397" s="5"/>
      <c r="AT397" s="5"/>
      <c r="AU397" s="19"/>
      <c r="AV397" s="19"/>
      <c r="AW397" s="5"/>
      <c r="AX397" s="5"/>
      <c r="AY397" s="19"/>
      <c r="AZ397" s="30"/>
      <c r="BA397" s="5"/>
      <c r="BB397" s="31" t="str">
        <f aca="false">IF(OR($T397="",$M397=""),"",$T397-$M397)</f>
        <v/>
      </c>
      <c r="BC397" s="32" t="str">
        <f aca="false">IF(OR($T397="",$M397="",$M397=0),"",($T397-$M397)/$M397)</f>
        <v/>
      </c>
      <c r="BD397" s="31" t="str">
        <f aca="false">IF(OR($U397="",$M397=""),"",$U397-$M397)</f>
        <v/>
      </c>
      <c r="BE397" s="32" t="str">
        <f aca="false">IF(OR($U397="",$M397="",$M397=0),"",($U397-$M397)/$M397)</f>
        <v/>
      </c>
      <c r="BF397" s="32" t="str">
        <f aca="false">IF(OR($U397="",$J397="",$J397=0),"",($U397-$J397)/$J397)</f>
        <v/>
      </c>
      <c r="BG397" s="32" t="str">
        <f aca="false">IF(OR($M397="",$K397="",$K397=0),"",($M397-$K397)/$K397)</f>
        <v/>
      </c>
      <c r="BH397" s="32" t="str">
        <f aca="false">IF(OR($W397="",$N397="",$N397=0),"",($W397-$N397)/$N397)</f>
        <v/>
      </c>
      <c r="BI397" s="33" t="str">
        <f aca="false">IF(OR($O397="",$X397=""),"",$O397-$X397)</f>
        <v/>
      </c>
      <c r="BJ397" s="33" t="str">
        <f aca="false">IF(OR($P397="",$Y397=""),"",$P397-$Y397)</f>
        <v/>
      </c>
      <c r="BK397" s="34" t="str">
        <f aca="false">IF(OR($AN397="",$AO397="",$AN397=0),"",$AO397/$AN397)</f>
        <v/>
      </c>
      <c r="BL397" s="34" t="str">
        <f aca="false">IF(OR($AU397="",$AV397="",$AU397=0),"",$AV397/$AU397)</f>
        <v/>
      </c>
      <c r="BM397" s="7" t="str">
        <f aca="false">IF($Z397="","",IF(AND($Z397="Y",$AB397&lt;&gt;"N",$AC397&lt;&gt;"Y"),"Y","N"))</f>
        <v/>
      </c>
      <c r="BN397" s="7" t="str">
        <f aca="false">IF($AH397="","",IF($Z397&lt;&gt;"Y","undefined",IF($AH397&lt;=1,"Y","N")))</f>
        <v/>
      </c>
      <c r="BO397" s="7" t="str">
        <f aca="false">IF($AH397="","",IF($Z397&lt;&gt;"Y","undefined",IF($AH397&lt;=10,"Y","N")))</f>
        <v/>
      </c>
      <c r="BP397" s="7" t="str">
        <f aca="false">IF($AH397="","",IF($Z397&lt;&gt;"Y","undefined",IF($AH397&lt;=100,"Y","N")))</f>
        <v/>
      </c>
    </row>
    <row r="398" customFormat="false" ht="15" hidden="false" customHeight="false" outlineLevel="0" collapsed="false">
      <c r="A398" s="7" t="str">
        <f aca="false">IF($B398="","",$B398&amp;"|"&amp;$C398&amp;"|"&amp;$F398)</f>
        <v/>
      </c>
      <c r="B398" s="5"/>
      <c r="C398" s="5"/>
      <c r="D398" s="5"/>
      <c r="E398" s="5"/>
      <c r="F398" s="5"/>
      <c r="G398" s="5"/>
      <c r="H398" s="5"/>
      <c r="I398" s="5"/>
      <c r="J398" s="20"/>
      <c r="K398" s="20"/>
      <c r="L398" s="28"/>
      <c r="M398" s="20"/>
      <c r="N398" s="28"/>
      <c r="O398" s="19"/>
      <c r="P398" s="19"/>
      <c r="Q398" s="5"/>
      <c r="R398" s="19"/>
      <c r="S398" s="5"/>
      <c r="T398" s="20"/>
      <c r="U398" s="20"/>
      <c r="V398" s="29"/>
      <c r="W398" s="28"/>
      <c r="X398" s="19"/>
      <c r="Y398" s="19"/>
      <c r="Z398" s="5"/>
      <c r="AA398" s="19"/>
      <c r="AB398" s="5"/>
      <c r="AC398" s="5"/>
      <c r="AD398" s="5"/>
      <c r="AE398" s="5"/>
      <c r="AF398" s="30"/>
      <c r="AG398" s="30"/>
      <c r="AH398" s="30"/>
      <c r="AI398" s="30"/>
      <c r="AJ398" s="30"/>
      <c r="AK398" s="30"/>
      <c r="AL398" s="28"/>
      <c r="AM398" s="5"/>
      <c r="AN398" s="19"/>
      <c r="AO398" s="19"/>
      <c r="AP398" s="5"/>
      <c r="AQ398" s="5"/>
      <c r="AR398" s="5"/>
      <c r="AS398" s="5"/>
      <c r="AT398" s="5"/>
      <c r="AU398" s="19"/>
      <c r="AV398" s="19"/>
      <c r="AW398" s="5"/>
      <c r="AX398" s="5"/>
      <c r="AY398" s="19"/>
      <c r="AZ398" s="30"/>
      <c r="BA398" s="5"/>
      <c r="BB398" s="31" t="str">
        <f aca="false">IF(OR($T398="",$M398=""),"",$T398-$M398)</f>
        <v/>
      </c>
      <c r="BC398" s="32" t="str">
        <f aca="false">IF(OR($T398="",$M398="",$M398=0),"",($T398-$M398)/$M398)</f>
        <v/>
      </c>
      <c r="BD398" s="31" t="str">
        <f aca="false">IF(OR($U398="",$M398=""),"",$U398-$M398)</f>
        <v/>
      </c>
      <c r="BE398" s="32" t="str">
        <f aca="false">IF(OR($U398="",$M398="",$M398=0),"",($U398-$M398)/$M398)</f>
        <v/>
      </c>
      <c r="BF398" s="32" t="str">
        <f aca="false">IF(OR($U398="",$J398="",$J398=0),"",($U398-$J398)/$J398)</f>
        <v/>
      </c>
      <c r="BG398" s="32" t="str">
        <f aca="false">IF(OR($M398="",$K398="",$K398=0),"",($M398-$K398)/$K398)</f>
        <v/>
      </c>
      <c r="BH398" s="32" t="str">
        <f aca="false">IF(OR($W398="",$N398="",$N398=0),"",($W398-$N398)/$N398)</f>
        <v/>
      </c>
      <c r="BI398" s="33" t="str">
        <f aca="false">IF(OR($O398="",$X398=""),"",$O398-$X398)</f>
        <v/>
      </c>
      <c r="BJ398" s="33" t="str">
        <f aca="false">IF(OR($P398="",$Y398=""),"",$P398-$Y398)</f>
        <v/>
      </c>
      <c r="BK398" s="34" t="str">
        <f aca="false">IF(OR($AN398="",$AO398="",$AN398=0),"",$AO398/$AN398)</f>
        <v/>
      </c>
      <c r="BL398" s="34" t="str">
        <f aca="false">IF(OR($AU398="",$AV398="",$AU398=0),"",$AV398/$AU398)</f>
        <v/>
      </c>
      <c r="BM398" s="7" t="str">
        <f aca="false">IF($Z398="","",IF(AND($Z398="Y",$AB398&lt;&gt;"N",$AC398&lt;&gt;"Y"),"Y","N"))</f>
        <v/>
      </c>
      <c r="BN398" s="7" t="str">
        <f aca="false">IF($AH398="","",IF($Z398&lt;&gt;"Y","undefined",IF($AH398&lt;=1,"Y","N")))</f>
        <v/>
      </c>
      <c r="BO398" s="7" t="str">
        <f aca="false">IF($AH398="","",IF($Z398&lt;&gt;"Y","undefined",IF($AH398&lt;=10,"Y","N")))</f>
        <v/>
      </c>
      <c r="BP398" s="7" t="str">
        <f aca="false">IF($AH398="","",IF($Z398&lt;&gt;"Y","undefined",IF($AH398&lt;=100,"Y","N")))</f>
        <v/>
      </c>
    </row>
    <row r="399" customFormat="false" ht="15" hidden="false" customHeight="false" outlineLevel="0" collapsed="false">
      <c r="A399" s="7" t="str">
        <f aca="false">IF($B399="","",$B399&amp;"|"&amp;$C399&amp;"|"&amp;$F399)</f>
        <v/>
      </c>
      <c r="B399" s="5"/>
      <c r="C399" s="5"/>
      <c r="D399" s="5"/>
      <c r="E399" s="5"/>
      <c r="F399" s="5"/>
      <c r="G399" s="5"/>
      <c r="H399" s="5"/>
      <c r="I399" s="5"/>
      <c r="J399" s="20"/>
      <c r="K399" s="20"/>
      <c r="L399" s="28"/>
      <c r="M399" s="20"/>
      <c r="N399" s="28"/>
      <c r="O399" s="19"/>
      <c r="P399" s="19"/>
      <c r="Q399" s="5"/>
      <c r="R399" s="19"/>
      <c r="S399" s="5"/>
      <c r="T399" s="20"/>
      <c r="U399" s="20"/>
      <c r="V399" s="29"/>
      <c r="W399" s="28"/>
      <c r="X399" s="19"/>
      <c r="Y399" s="19"/>
      <c r="Z399" s="5"/>
      <c r="AA399" s="19"/>
      <c r="AB399" s="5"/>
      <c r="AC399" s="5"/>
      <c r="AD399" s="5"/>
      <c r="AE399" s="5"/>
      <c r="AF399" s="30"/>
      <c r="AG399" s="30"/>
      <c r="AH399" s="30"/>
      <c r="AI399" s="30"/>
      <c r="AJ399" s="30"/>
      <c r="AK399" s="30"/>
      <c r="AL399" s="28"/>
      <c r="AM399" s="5"/>
      <c r="AN399" s="19"/>
      <c r="AO399" s="19"/>
      <c r="AP399" s="5"/>
      <c r="AQ399" s="5"/>
      <c r="AR399" s="5"/>
      <c r="AS399" s="5"/>
      <c r="AT399" s="5"/>
      <c r="AU399" s="19"/>
      <c r="AV399" s="19"/>
      <c r="AW399" s="5"/>
      <c r="AX399" s="5"/>
      <c r="AY399" s="19"/>
      <c r="AZ399" s="30"/>
      <c r="BA399" s="5"/>
      <c r="BB399" s="31" t="str">
        <f aca="false">IF(OR($T399="",$M399=""),"",$T399-$M399)</f>
        <v/>
      </c>
      <c r="BC399" s="32" t="str">
        <f aca="false">IF(OR($T399="",$M399="",$M399=0),"",($T399-$M399)/$M399)</f>
        <v/>
      </c>
      <c r="BD399" s="31" t="str">
        <f aca="false">IF(OR($U399="",$M399=""),"",$U399-$M399)</f>
        <v/>
      </c>
      <c r="BE399" s="32" t="str">
        <f aca="false">IF(OR($U399="",$M399="",$M399=0),"",($U399-$M399)/$M399)</f>
        <v/>
      </c>
      <c r="BF399" s="32" t="str">
        <f aca="false">IF(OR($U399="",$J399="",$J399=0),"",($U399-$J399)/$J399)</f>
        <v/>
      </c>
      <c r="BG399" s="32" t="str">
        <f aca="false">IF(OR($M399="",$K399="",$K399=0),"",($M399-$K399)/$K399)</f>
        <v/>
      </c>
      <c r="BH399" s="32" t="str">
        <f aca="false">IF(OR($W399="",$N399="",$N399=0),"",($W399-$N399)/$N399)</f>
        <v/>
      </c>
      <c r="BI399" s="33" t="str">
        <f aca="false">IF(OR($O399="",$X399=""),"",$O399-$X399)</f>
        <v/>
      </c>
      <c r="BJ399" s="33" t="str">
        <f aca="false">IF(OR($P399="",$Y399=""),"",$P399-$Y399)</f>
        <v/>
      </c>
      <c r="BK399" s="34" t="str">
        <f aca="false">IF(OR($AN399="",$AO399="",$AN399=0),"",$AO399/$AN399)</f>
        <v/>
      </c>
      <c r="BL399" s="34" t="str">
        <f aca="false">IF(OR($AU399="",$AV399="",$AU399=0),"",$AV399/$AU399)</f>
        <v/>
      </c>
      <c r="BM399" s="7" t="str">
        <f aca="false">IF($Z399="","",IF(AND($Z399="Y",$AB399&lt;&gt;"N",$AC399&lt;&gt;"Y"),"Y","N"))</f>
        <v/>
      </c>
      <c r="BN399" s="7" t="str">
        <f aca="false">IF($AH399="","",IF($Z399&lt;&gt;"Y","undefined",IF($AH399&lt;=1,"Y","N")))</f>
        <v/>
      </c>
      <c r="BO399" s="7" t="str">
        <f aca="false">IF($AH399="","",IF($Z399&lt;&gt;"Y","undefined",IF($AH399&lt;=10,"Y","N")))</f>
        <v/>
      </c>
      <c r="BP399" s="7" t="str">
        <f aca="false">IF($AH399="","",IF($Z399&lt;&gt;"Y","undefined",IF($AH399&lt;=100,"Y","N")))</f>
        <v/>
      </c>
    </row>
    <row r="400" customFormat="false" ht="15" hidden="false" customHeight="false" outlineLevel="0" collapsed="false">
      <c r="A400" s="7" t="str">
        <f aca="false">IF($B400="","",$B400&amp;"|"&amp;$C400&amp;"|"&amp;$F400)</f>
        <v/>
      </c>
      <c r="B400" s="5"/>
      <c r="C400" s="5"/>
      <c r="D400" s="5"/>
      <c r="E400" s="5"/>
      <c r="F400" s="5"/>
      <c r="G400" s="5"/>
      <c r="H400" s="5"/>
      <c r="I400" s="5"/>
      <c r="J400" s="20"/>
      <c r="K400" s="20"/>
      <c r="L400" s="28"/>
      <c r="M400" s="20"/>
      <c r="N400" s="28"/>
      <c r="O400" s="19"/>
      <c r="P400" s="19"/>
      <c r="Q400" s="5"/>
      <c r="R400" s="19"/>
      <c r="S400" s="5"/>
      <c r="T400" s="20"/>
      <c r="U400" s="20"/>
      <c r="V400" s="29"/>
      <c r="W400" s="28"/>
      <c r="X400" s="19"/>
      <c r="Y400" s="19"/>
      <c r="Z400" s="5"/>
      <c r="AA400" s="19"/>
      <c r="AB400" s="5"/>
      <c r="AC400" s="5"/>
      <c r="AD400" s="5"/>
      <c r="AE400" s="5"/>
      <c r="AF400" s="30"/>
      <c r="AG400" s="30"/>
      <c r="AH400" s="30"/>
      <c r="AI400" s="30"/>
      <c r="AJ400" s="30"/>
      <c r="AK400" s="30"/>
      <c r="AL400" s="28"/>
      <c r="AM400" s="5"/>
      <c r="AN400" s="19"/>
      <c r="AO400" s="19"/>
      <c r="AP400" s="5"/>
      <c r="AQ400" s="5"/>
      <c r="AR400" s="5"/>
      <c r="AS400" s="5"/>
      <c r="AT400" s="5"/>
      <c r="AU400" s="19"/>
      <c r="AV400" s="19"/>
      <c r="AW400" s="5"/>
      <c r="AX400" s="5"/>
      <c r="AY400" s="19"/>
      <c r="AZ400" s="30"/>
      <c r="BA400" s="5"/>
      <c r="BB400" s="31" t="str">
        <f aca="false">IF(OR($T400="",$M400=""),"",$T400-$M400)</f>
        <v/>
      </c>
      <c r="BC400" s="32" t="str">
        <f aca="false">IF(OR($T400="",$M400="",$M400=0),"",($T400-$M400)/$M400)</f>
        <v/>
      </c>
      <c r="BD400" s="31" t="str">
        <f aca="false">IF(OR($U400="",$M400=""),"",$U400-$M400)</f>
        <v/>
      </c>
      <c r="BE400" s="32" t="str">
        <f aca="false">IF(OR($U400="",$M400="",$M400=0),"",($U400-$M400)/$M400)</f>
        <v/>
      </c>
      <c r="BF400" s="32" t="str">
        <f aca="false">IF(OR($U400="",$J400="",$J400=0),"",($U400-$J400)/$J400)</f>
        <v/>
      </c>
      <c r="BG400" s="32" t="str">
        <f aca="false">IF(OR($M400="",$K400="",$K400=0),"",($M400-$K400)/$K400)</f>
        <v/>
      </c>
      <c r="BH400" s="32" t="str">
        <f aca="false">IF(OR($W400="",$N400="",$N400=0),"",($W400-$N400)/$N400)</f>
        <v/>
      </c>
      <c r="BI400" s="33" t="str">
        <f aca="false">IF(OR($O400="",$X400=""),"",$O400-$X400)</f>
        <v/>
      </c>
      <c r="BJ400" s="33" t="str">
        <f aca="false">IF(OR($P400="",$Y400=""),"",$P400-$Y400)</f>
        <v/>
      </c>
      <c r="BK400" s="34" t="str">
        <f aca="false">IF(OR($AN400="",$AO400="",$AN400=0),"",$AO400/$AN400)</f>
        <v/>
      </c>
      <c r="BL400" s="34" t="str">
        <f aca="false">IF(OR($AU400="",$AV400="",$AU400=0),"",$AV400/$AU400)</f>
        <v/>
      </c>
      <c r="BM400" s="7" t="str">
        <f aca="false">IF($Z400="","",IF(AND($Z400="Y",$AB400&lt;&gt;"N",$AC400&lt;&gt;"Y"),"Y","N"))</f>
        <v/>
      </c>
      <c r="BN400" s="7" t="str">
        <f aca="false">IF($AH400="","",IF($Z400&lt;&gt;"Y","undefined",IF($AH400&lt;=1,"Y","N")))</f>
        <v/>
      </c>
      <c r="BO400" s="7" t="str">
        <f aca="false">IF($AH400="","",IF($Z400&lt;&gt;"Y","undefined",IF($AH400&lt;=10,"Y","N")))</f>
        <v/>
      </c>
      <c r="BP400" s="7" t="str">
        <f aca="false">IF($AH400="","",IF($Z400&lt;&gt;"Y","undefined",IF($AH400&lt;=100,"Y","N")))</f>
        <v/>
      </c>
    </row>
    <row r="401" customFormat="false" ht="15" hidden="false" customHeight="false" outlineLevel="0" collapsed="false">
      <c r="A401" s="7" t="str">
        <f aca="false">IF($B401="","",$B401&amp;"|"&amp;$C401&amp;"|"&amp;$F401)</f>
        <v/>
      </c>
      <c r="B401" s="5"/>
      <c r="C401" s="5"/>
      <c r="D401" s="5"/>
      <c r="E401" s="5"/>
      <c r="F401" s="5"/>
      <c r="G401" s="5"/>
      <c r="H401" s="5"/>
      <c r="I401" s="5"/>
      <c r="J401" s="20"/>
      <c r="K401" s="20"/>
      <c r="L401" s="28"/>
      <c r="M401" s="20"/>
      <c r="N401" s="28"/>
      <c r="O401" s="19"/>
      <c r="P401" s="19"/>
      <c r="Q401" s="5"/>
      <c r="R401" s="19"/>
      <c r="S401" s="5"/>
      <c r="T401" s="20"/>
      <c r="U401" s="20"/>
      <c r="V401" s="29"/>
      <c r="W401" s="28"/>
      <c r="X401" s="19"/>
      <c r="Y401" s="19"/>
      <c r="Z401" s="5"/>
      <c r="AA401" s="19"/>
      <c r="AB401" s="5"/>
      <c r="AC401" s="5"/>
      <c r="AD401" s="5"/>
      <c r="AE401" s="5"/>
      <c r="AF401" s="30"/>
      <c r="AG401" s="30"/>
      <c r="AH401" s="30"/>
      <c r="AI401" s="30"/>
      <c r="AJ401" s="30"/>
      <c r="AK401" s="30"/>
      <c r="AL401" s="28"/>
      <c r="AM401" s="5"/>
      <c r="AN401" s="19"/>
      <c r="AO401" s="19"/>
      <c r="AP401" s="5"/>
      <c r="AQ401" s="5"/>
      <c r="AR401" s="5"/>
      <c r="AS401" s="5"/>
      <c r="AT401" s="5"/>
      <c r="AU401" s="19"/>
      <c r="AV401" s="19"/>
      <c r="AW401" s="5"/>
      <c r="AX401" s="5"/>
      <c r="AY401" s="19"/>
      <c r="AZ401" s="30"/>
      <c r="BA401" s="5"/>
      <c r="BB401" s="31" t="str">
        <f aca="false">IF(OR($T401="",$M401=""),"",$T401-$M401)</f>
        <v/>
      </c>
      <c r="BC401" s="32" t="str">
        <f aca="false">IF(OR($T401="",$M401="",$M401=0),"",($T401-$M401)/$M401)</f>
        <v/>
      </c>
      <c r="BD401" s="31" t="str">
        <f aca="false">IF(OR($U401="",$M401=""),"",$U401-$M401)</f>
        <v/>
      </c>
      <c r="BE401" s="32" t="str">
        <f aca="false">IF(OR($U401="",$M401="",$M401=0),"",($U401-$M401)/$M401)</f>
        <v/>
      </c>
      <c r="BF401" s="32" t="str">
        <f aca="false">IF(OR($U401="",$J401="",$J401=0),"",($U401-$J401)/$J401)</f>
        <v/>
      </c>
      <c r="BG401" s="32" t="str">
        <f aca="false">IF(OR($M401="",$K401="",$K401=0),"",($M401-$K401)/$K401)</f>
        <v/>
      </c>
      <c r="BH401" s="32" t="str">
        <f aca="false">IF(OR($W401="",$N401="",$N401=0),"",($W401-$N401)/$N401)</f>
        <v/>
      </c>
      <c r="BI401" s="33" t="str">
        <f aca="false">IF(OR($O401="",$X401=""),"",$O401-$X401)</f>
        <v/>
      </c>
      <c r="BJ401" s="33" t="str">
        <f aca="false">IF(OR($P401="",$Y401=""),"",$P401-$Y401)</f>
        <v/>
      </c>
      <c r="BK401" s="34" t="str">
        <f aca="false">IF(OR($AN401="",$AO401="",$AN401=0),"",$AO401/$AN401)</f>
        <v/>
      </c>
      <c r="BL401" s="34" t="str">
        <f aca="false">IF(OR($AU401="",$AV401="",$AU401=0),"",$AV401/$AU401)</f>
        <v/>
      </c>
      <c r="BM401" s="7" t="str">
        <f aca="false">IF($Z401="","",IF(AND($Z401="Y",$AB401&lt;&gt;"N",$AC401&lt;&gt;"Y"),"Y","N"))</f>
        <v/>
      </c>
      <c r="BN401" s="7" t="str">
        <f aca="false">IF($AH401="","",IF($Z401&lt;&gt;"Y","undefined",IF($AH401&lt;=1,"Y","N")))</f>
        <v/>
      </c>
      <c r="BO401" s="7" t="str">
        <f aca="false">IF($AH401="","",IF($Z401&lt;&gt;"Y","undefined",IF($AH401&lt;=10,"Y","N")))</f>
        <v/>
      </c>
      <c r="BP401" s="7" t="str">
        <f aca="false">IF($AH401="","",IF($Z401&lt;&gt;"Y","undefined",IF($AH401&lt;=100,"Y","N")))</f>
        <v/>
      </c>
    </row>
    <row r="402" customFormat="false" ht="15" hidden="false" customHeight="false" outlineLevel="0" collapsed="false">
      <c r="A402" s="7" t="str">
        <f aca="false">IF($B402="","",$B402&amp;"|"&amp;$C402&amp;"|"&amp;$F402)</f>
        <v/>
      </c>
      <c r="B402" s="5"/>
      <c r="C402" s="5"/>
      <c r="D402" s="5"/>
      <c r="E402" s="5"/>
      <c r="F402" s="5"/>
      <c r="G402" s="5"/>
      <c r="H402" s="5"/>
      <c r="I402" s="5"/>
      <c r="J402" s="20"/>
      <c r="K402" s="20"/>
      <c r="L402" s="28"/>
      <c r="M402" s="20"/>
      <c r="N402" s="28"/>
      <c r="O402" s="19"/>
      <c r="P402" s="19"/>
      <c r="Q402" s="5"/>
      <c r="R402" s="19"/>
      <c r="S402" s="5"/>
      <c r="T402" s="20"/>
      <c r="U402" s="20"/>
      <c r="V402" s="29"/>
      <c r="W402" s="28"/>
      <c r="X402" s="19"/>
      <c r="Y402" s="19"/>
      <c r="Z402" s="5"/>
      <c r="AA402" s="19"/>
      <c r="AB402" s="5"/>
      <c r="AC402" s="5"/>
      <c r="AD402" s="5"/>
      <c r="AE402" s="5"/>
      <c r="AF402" s="30"/>
      <c r="AG402" s="30"/>
      <c r="AH402" s="30"/>
      <c r="AI402" s="30"/>
      <c r="AJ402" s="30"/>
      <c r="AK402" s="30"/>
      <c r="AL402" s="28"/>
      <c r="AM402" s="5"/>
      <c r="AN402" s="19"/>
      <c r="AO402" s="19"/>
      <c r="AP402" s="5"/>
      <c r="AQ402" s="5"/>
      <c r="AR402" s="5"/>
      <c r="AS402" s="5"/>
      <c r="AT402" s="5"/>
      <c r="AU402" s="19"/>
      <c r="AV402" s="19"/>
      <c r="AW402" s="5"/>
      <c r="AX402" s="5"/>
      <c r="AY402" s="19"/>
      <c r="AZ402" s="30"/>
      <c r="BA402" s="5"/>
      <c r="BB402" s="31" t="str">
        <f aca="false">IF(OR($T402="",$M402=""),"",$T402-$M402)</f>
        <v/>
      </c>
      <c r="BC402" s="32" t="str">
        <f aca="false">IF(OR($T402="",$M402="",$M402=0),"",($T402-$M402)/$M402)</f>
        <v/>
      </c>
      <c r="BD402" s="31" t="str">
        <f aca="false">IF(OR($U402="",$M402=""),"",$U402-$M402)</f>
        <v/>
      </c>
      <c r="BE402" s="32" t="str">
        <f aca="false">IF(OR($U402="",$M402="",$M402=0),"",($U402-$M402)/$M402)</f>
        <v/>
      </c>
      <c r="BF402" s="32" t="str">
        <f aca="false">IF(OR($U402="",$J402="",$J402=0),"",($U402-$J402)/$J402)</f>
        <v/>
      </c>
      <c r="BG402" s="32" t="str">
        <f aca="false">IF(OR($M402="",$K402="",$K402=0),"",($M402-$K402)/$K402)</f>
        <v/>
      </c>
      <c r="BH402" s="32" t="str">
        <f aca="false">IF(OR($W402="",$N402="",$N402=0),"",($W402-$N402)/$N402)</f>
        <v/>
      </c>
      <c r="BI402" s="33" t="str">
        <f aca="false">IF(OR($O402="",$X402=""),"",$O402-$X402)</f>
        <v/>
      </c>
      <c r="BJ402" s="33" t="str">
        <f aca="false">IF(OR($P402="",$Y402=""),"",$P402-$Y402)</f>
        <v/>
      </c>
      <c r="BK402" s="34" t="str">
        <f aca="false">IF(OR($AN402="",$AO402="",$AN402=0),"",$AO402/$AN402)</f>
        <v/>
      </c>
      <c r="BL402" s="34" t="str">
        <f aca="false">IF(OR($AU402="",$AV402="",$AU402=0),"",$AV402/$AU402)</f>
        <v/>
      </c>
      <c r="BM402" s="7" t="str">
        <f aca="false">IF($Z402="","",IF(AND($Z402="Y",$AB402&lt;&gt;"N",$AC402&lt;&gt;"Y"),"Y","N"))</f>
        <v/>
      </c>
      <c r="BN402" s="7" t="str">
        <f aca="false">IF($AH402="","",IF($Z402&lt;&gt;"Y","undefined",IF($AH402&lt;=1,"Y","N")))</f>
        <v/>
      </c>
      <c r="BO402" s="7" t="str">
        <f aca="false">IF($AH402="","",IF($Z402&lt;&gt;"Y","undefined",IF($AH402&lt;=10,"Y","N")))</f>
        <v/>
      </c>
      <c r="BP402" s="7" t="str">
        <f aca="false">IF($AH402="","",IF($Z402&lt;&gt;"Y","undefined",IF($AH402&lt;=100,"Y","N")))</f>
        <v/>
      </c>
    </row>
    <row r="403" customFormat="false" ht="15" hidden="false" customHeight="false" outlineLevel="0" collapsed="false">
      <c r="A403" s="7" t="str">
        <f aca="false">IF($B403="","",$B403&amp;"|"&amp;$C403&amp;"|"&amp;$F403)</f>
        <v/>
      </c>
      <c r="B403" s="5"/>
      <c r="C403" s="5"/>
      <c r="D403" s="5"/>
      <c r="E403" s="5"/>
      <c r="F403" s="5"/>
      <c r="G403" s="5"/>
      <c r="H403" s="5"/>
      <c r="I403" s="5"/>
      <c r="J403" s="20"/>
      <c r="K403" s="20"/>
      <c r="L403" s="28"/>
      <c r="M403" s="20"/>
      <c r="N403" s="28"/>
      <c r="O403" s="19"/>
      <c r="P403" s="19"/>
      <c r="Q403" s="5"/>
      <c r="R403" s="19"/>
      <c r="S403" s="5"/>
      <c r="T403" s="20"/>
      <c r="U403" s="20"/>
      <c r="V403" s="29"/>
      <c r="W403" s="28"/>
      <c r="X403" s="19"/>
      <c r="Y403" s="19"/>
      <c r="Z403" s="5"/>
      <c r="AA403" s="19"/>
      <c r="AB403" s="5"/>
      <c r="AC403" s="5"/>
      <c r="AD403" s="5"/>
      <c r="AE403" s="5"/>
      <c r="AF403" s="30"/>
      <c r="AG403" s="30"/>
      <c r="AH403" s="30"/>
      <c r="AI403" s="30"/>
      <c r="AJ403" s="30"/>
      <c r="AK403" s="30"/>
      <c r="AL403" s="28"/>
      <c r="AM403" s="5"/>
      <c r="AN403" s="19"/>
      <c r="AO403" s="19"/>
      <c r="AP403" s="5"/>
      <c r="AQ403" s="5"/>
      <c r="AR403" s="5"/>
      <c r="AS403" s="5"/>
      <c r="AT403" s="5"/>
      <c r="AU403" s="19"/>
      <c r="AV403" s="19"/>
      <c r="AW403" s="5"/>
      <c r="AX403" s="5"/>
      <c r="AY403" s="19"/>
      <c r="AZ403" s="30"/>
      <c r="BA403" s="5"/>
      <c r="BB403" s="31" t="str">
        <f aca="false">IF(OR($T403="",$M403=""),"",$T403-$M403)</f>
        <v/>
      </c>
      <c r="BC403" s="32" t="str">
        <f aca="false">IF(OR($T403="",$M403="",$M403=0),"",($T403-$M403)/$M403)</f>
        <v/>
      </c>
      <c r="BD403" s="31" t="str">
        <f aca="false">IF(OR($U403="",$M403=""),"",$U403-$M403)</f>
        <v/>
      </c>
      <c r="BE403" s="32" t="str">
        <f aca="false">IF(OR($U403="",$M403="",$M403=0),"",($U403-$M403)/$M403)</f>
        <v/>
      </c>
      <c r="BF403" s="32" t="str">
        <f aca="false">IF(OR($U403="",$J403="",$J403=0),"",($U403-$J403)/$J403)</f>
        <v/>
      </c>
      <c r="BG403" s="32" t="str">
        <f aca="false">IF(OR($M403="",$K403="",$K403=0),"",($M403-$K403)/$K403)</f>
        <v/>
      </c>
      <c r="BH403" s="32" t="str">
        <f aca="false">IF(OR($W403="",$N403="",$N403=0),"",($W403-$N403)/$N403)</f>
        <v/>
      </c>
      <c r="BI403" s="33" t="str">
        <f aca="false">IF(OR($O403="",$X403=""),"",$O403-$X403)</f>
        <v/>
      </c>
      <c r="BJ403" s="33" t="str">
        <f aca="false">IF(OR($P403="",$Y403=""),"",$P403-$Y403)</f>
        <v/>
      </c>
      <c r="BK403" s="34" t="str">
        <f aca="false">IF(OR($AN403="",$AO403="",$AN403=0),"",$AO403/$AN403)</f>
        <v/>
      </c>
      <c r="BL403" s="34" t="str">
        <f aca="false">IF(OR($AU403="",$AV403="",$AU403=0),"",$AV403/$AU403)</f>
        <v/>
      </c>
      <c r="BM403" s="7" t="str">
        <f aca="false">IF($Z403="","",IF(AND($Z403="Y",$AB403&lt;&gt;"N",$AC403&lt;&gt;"Y"),"Y","N"))</f>
        <v/>
      </c>
      <c r="BN403" s="7" t="str">
        <f aca="false">IF($AH403="","",IF($Z403&lt;&gt;"Y","undefined",IF($AH403&lt;=1,"Y","N")))</f>
        <v/>
      </c>
      <c r="BO403" s="7" t="str">
        <f aca="false">IF($AH403="","",IF($Z403&lt;&gt;"Y","undefined",IF($AH403&lt;=10,"Y","N")))</f>
        <v/>
      </c>
      <c r="BP403" s="7" t="str">
        <f aca="false">IF($AH403="","",IF($Z403&lt;&gt;"Y","undefined",IF($AH403&lt;=100,"Y","N")))</f>
        <v/>
      </c>
    </row>
  </sheetData>
  <autoFilter ref="A2:BP403"/>
  <mergeCells count="8">
    <mergeCell ref="A1:I1"/>
    <mergeCell ref="J1:L1"/>
    <mergeCell ref="M1:S1"/>
    <mergeCell ref="T1:AE1"/>
    <mergeCell ref="AF1:AM1"/>
    <mergeCell ref="AN1:AX1"/>
    <mergeCell ref="AY1:AZ1"/>
    <mergeCell ref="BB1:BP1"/>
  </mergeCells>
  <dataValidations count="18">
    <dataValidation allowBlank="true" error="Pick a value from the Condition list on the Lookups sheet." errorStyle="stop" errorTitle="Not in list" operator="between" showDropDown="false" showErrorMessage="false" showInputMessage="false" sqref="F4:F403" type="list">
      <formula1>Lookups!$C$4:$C$9</formula1>
      <formula2>0</formula2>
    </dataValidation>
    <dataValidation allowBlank="true" error="Pick a value from the UnitType list on the Lookups sheet." errorStyle="stop" errorTitle="Not in list" operator="between" showDropDown="false" showErrorMessage="false" showInputMessage="false" sqref="G4:G403" type="list">
      <formula1>Lookups!$L$4:$L$9</formula1>
      <formula2>0</formula2>
    </dataValidation>
    <dataValidation allowBlank="true" error="Pick a value from the Status list on the Lookups sheet." errorStyle="stop" errorTitle="Not in list" operator="between" showDropDown="false" showErrorMessage="false" showInputMessage="false" sqref="H4:H403" type="list">
      <formula1>Lookups!$F$4:$F$7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Q4:Q40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S4:S40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Z4:Z40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AB4:AB40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AC4:AC403" type="list">
      <formula1>Lookups!$G$4:$G$6</formula1>
      <formula2>0</formula2>
    </dataValidation>
    <dataValidation allowBlank="true" error="Pick a value from the CRS list on the Lookups sheet." errorStyle="stop" errorTitle="Not in list" operator="between" showDropDown="false" showErrorMessage="false" showInputMessage="false" sqref="AD4:AD403" type="list">
      <formula1>Lookups!$M$4:$M$7</formula1>
      <formula2>0</formula2>
    </dataValidation>
    <dataValidation allowBlank="true" error="Pick a value from the GeomType list on the Lookups sheet." errorStyle="stop" errorTitle="Not in list" operator="between" showDropDown="false" showErrorMessage="false" showInputMessage="false" sqref="AE4:AE403" type="list">
      <formula1>Lookups!$N$4:$N$6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AM4:AM40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AP4:AP40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AQ4:AQ40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AR4:AR40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AS4:AS40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AT4:AT40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AW4:AW40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AX4:AX403" type="list">
      <formula1>Lookups!$G$4:$G$6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11" min="9" style="0" width="10"/>
    <col collapsed="false" customWidth="true" hidden="false" outlineLevel="0" max="19" min="12" style="0" width="11"/>
    <col collapsed="false" customWidth="true" hidden="false" outlineLevel="0" max="23" min="20" style="0" width="12"/>
    <col collapsed="false" customWidth="true" hidden="false" outlineLevel="0" max="24" min="24" style="0" width="14"/>
    <col collapsed="false" customWidth="true" hidden="false" outlineLevel="0" max="28" min="25" style="0" width="12"/>
    <col collapsed="false" customWidth="true" hidden="false" outlineLevel="0" max="29" min="29" style="0" width="16"/>
    <col collapsed="false" customWidth="true" hidden="false" outlineLevel="0" max="30" min="30" style="0" width="34"/>
  </cols>
  <sheetData>
    <row r="1" customFormat="false" ht="18" hidden="false" customHeight="true" outlineLevel="0" collapsed="false">
      <c r="A1" s="12" t="s">
        <v>245</v>
      </c>
      <c r="B1" s="12"/>
      <c r="C1" s="12"/>
      <c r="D1" s="12"/>
      <c r="E1" s="12"/>
      <c r="F1" s="12"/>
      <c r="G1" s="12" t="s">
        <v>246</v>
      </c>
      <c r="H1" s="12"/>
      <c r="I1" s="12" t="s">
        <v>247</v>
      </c>
      <c r="J1" s="12"/>
      <c r="K1" s="12"/>
      <c r="L1" s="12" t="s">
        <v>248</v>
      </c>
      <c r="M1" s="12"/>
      <c r="N1" s="12"/>
      <c r="O1" s="12"/>
      <c r="P1" s="12"/>
      <c r="Q1" s="12"/>
      <c r="R1" s="12"/>
      <c r="S1" s="12"/>
      <c r="T1" s="12" t="s">
        <v>249</v>
      </c>
      <c r="U1" s="12"/>
      <c r="V1" s="12"/>
      <c r="W1" s="12"/>
      <c r="X1" s="12" t="s">
        <v>250</v>
      </c>
      <c r="Y1" s="12"/>
      <c r="Z1" s="12"/>
      <c r="AA1" s="12"/>
      <c r="AB1" s="12"/>
      <c r="AC1" s="12"/>
      <c r="AD1" s="22" t="s">
        <v>173</v>
      </c>
    </row>
    <row r="2" customFormat="false" ht="42" hidden="false" customHeight="true" outlineLevel="0" collapsed="false">
      <c r="A2" s="13" t="s">
        <v>40</v>
      </c>
      <c r="B2" s="13" t="s">
        <v>251</v>
      </c>
      <c r="C2" s="13" t="s">
        <v>34</v>
      </c>
      <c r="D2" s="13" t="s">
        <v>179</v>
      </c>
      <c r="E2" s="13" t="s">
        <v>252</v>
      </c>
      <c r="F2" s="13" t="s">
        <v>253</v>
      </c>
      <c r="G2" s="13" t="s">
        <v>132</v>
      </c>
      <c r="H2" s="13" t="s">
        <v>254</v>
      </c>
      <c r="I2" s="13" t="s">
        <v>255</v>
      </c>
      <c r="J2" s="13" t="s">
        <v>256</v>
      </c>
      <c r="K2" s="13" t="s">
        <v>257</v>
      </c>
      <c r="L2" s="13" t="s">
        <v>258</v>
      </c>
      <c r="M2" s="13" t="s">
        <v>259</v>
      </c>
      <c r="N2" s="13" t="s">
        <v>260</v>
      </c>
      <c r="O2" s="13" t="s">
        <v>261</v>
      </c>
      <c r="P2" s="13" t="s">
        <v>262</v>
      </c>
      <c r="Q2" s="13" t="s">
        <v>263</v>
      </c>
      <c r="R2" s="13" t="s">
        <v>264</v>
      </c>
      <c r="S2" s="13" t="s">
        <v>265</v>
      </c>
      <c r="T2" s="13" t="s">
        <v>266</v>
      </c>
      <c r="U2" s="13" t="s">
        <v>267</v>
      </c>
      <c r="V2" s="13" t="s">
        <v>268</v>
      </c>
      <c r="W2" s="13" t="s">
        <v>269</v>
      </c>
      <c r="X2" s="13" t="s">
        <v>270</v>
      </c>
      <c r="Y2" s="13" t="s">
        <v>271</v>
      </c>
      <c r="Z2" s="13" t="s">
        <v>272</v>
      </c>
      <c r="AA2" s="13" t="s">
        <v>273</v>
      </c>
      <c r="AB2" s="13" t="s">
        <v>274</v>
      </c>
      <c r="AC2" s="13" t="s">
        <v>275</v>
      </c>
      <c r="AD2" s="13" t="s">
        <v>156</v>
      </c>
    </row>
    <row r="3" customFormat="false" ht="15" hidden="false" customHeight="false" outlineLevel="0" collapsed="false">
      <c r="A3" s="8" t="s">
        <v>243</v>
      </c>
      <c r="B3" s="14" t="s">
        <v>163</v>
      </c>
      <c r="C3" s="8" t="s">
        <v>157</v>
      </c>
      <c r="D3" s="8" t="s">
        <v>66</v>
      </c>
      <c r="E3" s="8" t="s">
        <v>108</v>
      </c>
      <c r="F3" s="8" t="s">
        <v>276</v>
      </c>
      <c r="G3" s="8" t="s">
        <v>159</v>
      </c>
      <c r="H3" s="35" t="n">
        <v>0.42</v>
      </c>
      <c r="I3" s="35" t="n">
        <v>0.31</v>
      </c>
      <c r="J3" s="35" t="n">
        <v>1.08</v>
      </c>
      <c r="K3" s="35" t="n">
        <v>0.22</v>
      </c>
      <c r="L3" s="15" t="n">
        <v>1</v>
      </c>
      <c r="M3" s="15" t="n">
        <v>1</v>
      </c>
      <c r="N3" s="15" t="n">
        <v>0</v>
      </c>
      <c r="O3" s="15" t="n">
        <v>1</v>
      </c>
      <c r="P3" s="15" t="n">
        <v>1</v>
      </c>
      <c r="Q3" s="15" t="n">
        <v>0</v>
      </c>
      <c r="R3" s="27" t="n">
        <f aca="false">IF(OR($L3="",$L3=0),"",$M3/$L3)</f>
        <v>1</v>
      </c>
      <c r="S3" s="27" t="n">
        <f aca="false">IF(OR($M3="",$M3=0),"",$P3/$M3)</f>
        <v>1</v>
      </c>
      <c r="T3" s="26" t="n">
        <v>0</v>
      </c>
      <c r="U3" s="26" t="n">
        <v>0</v>
      </c>
      <c r="V3" s="26" t="n">
        <v>-0.006505</v>
      </c>
      <c r="W3" s="26" t="n">
        <v>-0.006505</v>
      </c>
      <c r="X3" s="8" t="s">
        <v>277</v>
      </c>
      <c r="Y3" s="8" t="s">
        <v>278</v>
      </c>
      <c r="Z3" s="8" t="s">
        <v>279</v>
      </c>
      <c r="AA3" s="8" t="s">
        <v>280</v>
      </c>
      <c r="AB3" s="8" t="s">
        <v>281</v>
      </c>
      <c r="AC3" s="8" t="s">
        <v>282</v>
      </c>
      <c r="AD3" s="8" t="s">
        <v>244</v>
      </c>
    </row>
    <row r="4" customFormat="false" ht="15" hidden="false" customHeight="false" outlineLevel="0" collapsed="false">
      <c r="A4" s="5"/>
      <c r="B4" s="18"/>
      <c r="C4" s="5"/>
      <c r="D4" s="5"/>
      <c r="E4" s="5"/>
      <c r="F4" s="5"/>
      <c r="G4" s="5"/>
      <c r="H4" s="36"/>
      <c r="I4" s="36"/>
      <c r="J4" s="36"/>
      <c r="K4" s="36"/>
      <c r="L4" s="19"/>
      <c r="M4" s="19"/>
      <c r="N4" s="19"/>
      <c r="O4" s="19"/>
      <c r="P4" s="19"/>
      <c r="Q4" s="19"/>
      <c r="R4" s="34" t="str">
        <f aca="false">IF(OR($L4="",$L4=0),"",$M4/$L4)</f>
        <v/>
      </c>
      <c r="S4" s="34" t="str">
        <f aca="false">IF(OR($M4="",$M4=0),"",$P4/$M4)</f>
        <v/>
      </c>
      <c r="T4" s="37"/>
      <c r="U4" s="37"/>
      <c r="V4" s="37"/>
      <c r="W4" s="37"/>
      <c r="X4" s="5"/>
      <c r="Y4" s="5"/>
      <c r="Z4" s="5"/>
      <c r="AA4" s="5"/>
      <c r="AB4" s="5"/>
      <c r="AC4" s="5"/>
      <c r="AD4" s="5"/>
    </row>
    <row r="5" customFormat="false" ht="15" hidden="false" customHeight="false" outlineLevel="0" collapsed="false">
      <c r="A5" s="5"/>
      <c r="B5" s="18"/>
      <c r="C5" s="5"/>
      <c r="D5" s="5"/>
      <c r="E5" s="5"/>
      <c r="F5" s="5"/>
      <c r="G5" s="5"/>
      <c r="H5" s="36"/>
      <c r="I5" s="36"/>
      <c r="J5" s="36"/>
      <c r="K5" s="36"/>
      <c r="L5" s="19"/>
      <c r="M5" s="19"/>
      <c r="N5" s="19"/>
      <c r="O5" s="19"/>
      <c r="P5" s="19"/>
      <c r="Q5" s="19"/>
      <c r="R5" s="34" t="str">
        <f aca="false">IF(OR($L5="",$L5=0),"",$M5/$L5)</f>
        <v/>
      </c>
      <c r="S5" s="34" t="str">
        <f aca="false">IF(OR($M5="",$M5=0),"",$P5/$M5)</f>
        <v/>
      </c>
      <c r="T5" s="37"/>
      <c r="U5" s="37"/>
      <c r="V5" s="37"/>
      <c r="W5" s="37"/>
      <c r="X5" s="5"/>
      <c r="Y5" s="5"/>
      <c r="Z5" s="5"/>
      <c r="AA5" s="5"/>
      <c r="AB5" s="5"/>
      <c r="AC5" s="5"/>
      <c r="AD5" s="5"/>
    </row>
    <row r="6" customFormat="false" ht="15" hidden="false" customHeight="false" outlineLevel="0" collapsed="false">
      <c r="A6" s="5"/>
      <c r="B6" s="18"/>
      <c r="C6" s="5"/>
      <c r="D6" s="5"/>
      <c r="E6" s="5"/>
      <c r="F6" s="5"/>
      <c r="G6" s="5"/>
      <c r="H6" s="36"/>
      <c r="I6" s="36"/>
      <c r="J6" s="36"/>
      <c r="K6" s="36"/>
      <c r="L6" s="19"/>
      <c r="M6" s="19"/>
      <c r="N6" s="19"/>
      <c r="O6" s="19"/>
      <c r="P6" s="19"/>
      <c r="Q6" s="19"/>
      <c r="R6" s="34" t="str">
        <f aca="false">IF(OR($L6="",$L6=0),"",$M6/$L6)</f>
        <v/>
      </c>
      <c r="S6" s="34" t="str">
        <f aca="false">IF(OR($M6="",$M6=0),"",$P6/$M6)</f>
        <v/>
      </c>
      <c r="T6" s="37"/>
      <c r="U6" s="37"/>
      <c r="V6" s="37"/>
      <c r="W6" s="37"/>
      <c r="X6" s="5"/>
      <c r="Y6" s="5"/>
      <c r="Z6" s="5"/>
      <c r="AA6" s="5"/>
      <c r="AB6" s="5"/>
      <c r="AC6" s="5"/>
      <c r="AD6" s="5"/>
    </row>
    <row r="7" customFormat="false" ht="15" hidden="false" customHeight="false" outlineLevel="0" collapsed="false">
      <c r="A7" s="5"/>
      <c r="B7" s="18"/>
      <c r="C7" s="5"/>
      <c r="D7" s="5"/>
      <c r="E7" s="5"/>
      <c r="F7" s="5"/>
      <c r="G7" s="5"/>
      <c r="H7" s="36"/>
      <c r="I7" s="36"/>
      <c r="J7" s="36"/>
      <c r="K7" s="36"/>
      <c r="L7" s="19"/>
      <c r="M7" s="19"/>
      <c r="N7" s="19"/>
      <c r="O7" s="19"/>
      <c r="P7" s="19"/>
      <c r="Q7" s="19"/>
      <c r="R7" s="34" t="str">
        <f aca="false">IF(OR($L7="",$L7=0),"",$M7/$L7)</f>
        <v/>
      </c>
      <c r="S7" s="34" t="str">
        <f aca="false">IF(OR($M7="",$M7=0),"",$P7/$M7)</f>
        <v/>
      </c>
      <c r="T7" s="37"/>
      <c r="U7" s="37"/>
      <c r="V7" s="37"/>
      <c r="W7" s="37"/>
      <c r="X7" s="5"/>
      <c r="Y7" s="5"/>
      <c r="Z7" s="5"/>
      <c r="AA7" s="5"/>
      <c r="AB7" s="5"/>
      <c r="AC7" s="5"/>
      <c r="AD7" s="5"/>
    </row>
    <row r="8" customFormat="false" ht="15" hidden="false" customHeight="false" outlineLevel="0" collapsed="false">
      <c r="A8" s="5"/>
      <c r="B8" s="18"/>
      <c r="C8" s="5"/>
      <c r="D8" s="5"/>
      <c r="E8" s="5"/>
      <c r="F8" s="5"/>
      <c r="G8" s="5"/>
      <c r="H8" s="36"/>
      <c r="I8" s="36"/>
      <c r="J8" s="36"/>
      <c r="K8" s="36"/>
      <c r="L8" s="19"/>
      <c r="M8" s="19"/>
      <c r="N8" s="19"/>
      <c r="O8" s="19"/>
      <c r="P8" s="19"/>
      <c r="Q8" s="19"/>
      <c r="R8" s="34" t="str">
        <f aca="false">IF(OR($L8="",$L8=0),"",$M8/$L8)</f>
        <v/>
      </c>
      <c r="S8" s="34" t="str">
        <f aca="false">IF(OR($M8="",$M8=0),"",$P8/$M8)</f>
        <v/>
      </c>
      <c r="T8" s="37"/>
      <c r="U8" s="37"/>
      <c r="V8" s="37"/>
      <c r="W8" s="37"/>
      <c r="X8" s="5"/>
      <c r="Y8" s="5"/>
      <c r="Z8" s="5"/>
      <c r="AA8" s="5"/>
      <c r="AB8" s="5"/>
      <c r="AC8" s="5"/>
      <c r="AD8" s="5"/>
    </row>
    <row r="9" customFormat="false" ht="15" hidden="false" customHeight="false" outlineLevel="0" collapsed="false">
      <c r="A9" s="5"/>
      <c r="B9" s="18"/>
      <c r="C9" s="5"/>
      <c r="D9" s="5"/>
      <c r="E9" s="5"/>
      <c r="F9" s="5"/>
      <c r="G9" s="5"/>
      <c r="H9" s="36"/>
      <c r="I9" s="36"/>
      <c r="J9" s="36"/>
      <c r="K9" s="36"/>
      <c r="L9" s="19"/>
      <c r="M9" s="19"/>
      <c r="N9" s="19"/>
      <c r="O9" s="19"/>
      <c r="P9" s="19"/>
      <c r="Q9" s="19"/>
      <c r="R9" s="34" t="str">
        <f aca="false">IF(OR($L9="",$L9=0),"",$M9/$L9)</f>
        <v/>
      </c>
      <c r="S9" s="34" t="str">
        <f aca="false">IF(OR($M9="",$M9=0),"",$P9/$M9)</f>
        <v/>
      </c>
      <c r="T9" s="37"/>
      <c r="U9" s="37"/>
      <c r="V9" s="37"/>
      <c r="W9" s="37"/>
      <c r="X9" s="5"/>
      <c r="Y9" s="5"/>
      <c r="Z9" s="5"/>
      <c r="AA9" s="5"/>
      <c r="AB9" s="5"/>
      <c r="AC9" s="5"/>
      <c r="AD9" s="5"/>
    </row>
    <row r="10" customFormat="false" ht="15" hidden="false" customHeight="false" outlineLevel="0" collapsed="false">
      <c r="A10" s="5"/>
      <c r="B10" s="18"/>
      <c r="C10" s="5"/>
      <c r="D10" s="5"/>
      <c r="E10" s="5"/>
      <c r="F10" s="5"/>
      <c r="G10" s="5"/>
      <c r="H10" s="36"/>
      <c r="I10" s="36"/>
      <c r="J10" s="36"/>
      <c r="K10" s="36"/>
      <c r="L10" s="19"/>
      <c r="M10" s="19"/>
      <c r="N10" s="19"/>
      <c r="O10" s="19"/>
      <c r="P10" s="19"/>
      <c r="Q10" s="19"/>
      <c r="R10" s="34" t="str">
        <f aca="false">IF(OR($L10="",$L10=0),"",$M10/$L10)</f>
        <v/>
      </c>
      <c r="S10" s="34" t="str">
        <f aca="false">IF(OR($M10="",$M10=0),"",$P10/$M10)</f>
        <v/>
      </c>
      <c r="T10" s="37"/>
      <c r="U10" s="37"/>
      <c r="V10" s="37"/>
      <c r="W10" s="37"/>
      <c r="X10" s="5"/>
      <c r="Y10" s="5"/>
      <c r="Z10" s="5"/>
      <c r="AA10" s="5"/>
      <c r="AB10" s="5"/>
      <c r="AC10" s="5"/>
      <c r="AD10" s="5"/>
    </row>
    <row r="11" customFormat="false" ht="15" hidden="false" customHeight="false" outlineLevel="0" collapsed="false">
      <c r="A11" s="5"/>
      <c r="B11" s="18"/>
      <c r="C11" s="5"/>
      <c r="D11" s="5"/>
      <c r="E11" s="5"/>
      <c r="F11" s="5"/>
      <c r="G11" s="5"/>
      <c r="H11" s="36"/>
      <c r="I11" s="36"/>
      <c r="J11" s="36"/>
      <c r="K11" s="36"/>
      <c r="L11" s="19"/>
      <c r="M11" s="19"/>
      <c r="N11" s="19"/>
      <c r="O11" s="19"/>
      <c r="P11" s="19"/>
      <c r="Q11" s="19"/>
      <c r="R11" s="34" t="str">
        <f aca="false">IF(OR($L11="",$L11=0),"",$M11/$L11)</f>
        <v/>
      </c>
      <c r="S11" s="34" t="str">
        <f aca="false">IF(OR($M11="",$M11=0),"",$P11/$M11)</f>
        <v/>
      </c>
      <c r="T11" s="37"/>
      <c r="U11" s="37"/>
      <c r="V11" s="37"/>
      <c r="W11" s="37"/>
      <c r="X11" s="5"/>
      <c r="Y11" s="5"/>
      <c r="Z11" s="5"/>
      <c r="AA11" s="5"/>
      <c r="AB11" s="5"/>
      <c r="AC11" s="5"/>
      <c r="AD11" s="5"/>
    </row>
    <row r="12" customFormat="false" ht="15" hidden="false" customHeight="false" outlineLevel="0" collapsed="false">
      <c r="A12" s="5"/>
      <c r="B12" s="18"/>
      <c r="C12" s="5"/>
      <c r="D12" s="5"/>
      <c r="E12" s="5"/>
      <c r="F12" s="5"/>
      <c r="G12" s="5"/>
      <c r="H12" s="36"/>
      <c r="I12" s="36"/>
      <c r="J12" s="36"/>
      <c r="K12" s="36"/>
      <c r="L12" s="19"/>
      <c r="M12" s="19"/>
      <c r="N12" s="19"/>
      <c r="O12" s="19"/>
      <c r="P12" s="19"/>
      <c r="Q12" s="19"/>
      <c r="R12" s="34" t="str">
        <f aca="false">IF(OR($L12="",$L12=0),"",$M12/$L12)</f>
        <v/>
      </c>
      <c r="S12" s="34" t="str">
        <f aca="false">IF(OR($M12="",$M12=0),"",$P12/$M12)</f>
        <v/>
      </c>
      <c r="T12" s="37"/>
      <c r="U12" s="37"/>
      <c r="V12" s="37"/>
      <c r="W12" s="37"/>
      <c r="X12" s="5"/>
      <c r="Y12" s="5"/>
      <c r="Z12" s="5"/>
      <c r="AA12" s="5"/>
      <c r="AB12" s="5"/>
      <c r="AC12" s="5"/>
      <c r="AD12" s="5"/>
    </row>
    <row r="13" customFormat="false" ht="15" hidden="false" customHeight="false" outlineLevel="0" collapsed="false">
      <c r="A13" s="5"/>
      <c r="B13" s="18"/>
      <c r="C13" s="5"/>
      <c r="D13" s="5"/>
      <c r="E13" s="5"/>
      <c r="F13" s="5"/>
      <c r="G13" s="5"/>
      <c r="H13" s="36"/>
      <c r="I13" s="36"/>
      <c r="J13" s="36"/>
      <c r="K13" s="36"/>
      <c r="L13" s="19"/>
      <c r="M13" s="19"/>
      <c r="N13" s="19"/>
      <c r="O13" s="19"/>
      <c r="P13" s="19"/>
      <c r="Q13" s="19"/>
      <c r="R13" s="34" t="str">
        <f aca="false">IF(OR($L13="",$L13=0),"",$M13/$L13)</f>
        <v/>
      </c>
      <c r="S13" s="34" t="str">
        <f aca="false">IF(OR($M13="",$M13=0),"",$P13/$M13)</f>
        <v/>
      </c>
      <c r="T13" s="37"/>
      <c r="U13" s="37"/>
      <c r="V13" s="37"/>
      <c r="W13" s="37"/>
      <c r="X13" s="5"/>
      <c r="Y13" s="5"/>
      <c r="Z13" s="5"/>
      <c r="AA13" s="5"/>
      <c r="AB13" s="5"/>
      <c r="AC13" s="5"/>
      <c r="AD13" s="5"/>
    </row>
    <row r="14" customFormat="false" ht="15" hidden="false" customHeight="false" outlineLevel="0" collapsed="false">
      <c r="A14" s="5"/>
      <c r="B14" s="18"/>
      <c r="C14" s="5"/>
      <c r="D14" s="5"/>
      <c r="E14" s="5"/>
      <c r="F14" s="5"/>
      <c r="G14" s="5"/>
      <c r="H14" s="36"/>
      <c r="I14" s="36"/>
      <c r="J14" s="36"/>
      <c r="K14" s="36"/>
      <c r="L14" s="19"/>
      <c r="M14" s="19"/>
      <c r="N14" s="19"/>
      <c r="O14" s="19"/>
      <c r="P14" s="19"/>
      <c r="Q14" s="19"/>
      <c r="R14" s="34" t="str">
        <f aca="false">IF(OR($L14="",$L14=0),"",$M14/$L14)</f>
        <v/>
      </c>
      <c r="S14" s="34" t="str">
        <f aca="false">IF(OR($M14="",$M14=0),"",$P14/$M14)</f>
        <v/>
      </c>
      <c r="T14" s="37"/>
      <c r="U14" s="37"/>
      <c r="V14" s="37"/>
      <c r="W14" s="37"/>
      <c r="X14" s="5"/>
      <c r="Y14" s="5"/>
      <c r="Z14" s="5"/>
      <c r="AA14" s="5"/>
      <c r="AB14" s="5"/>
      <c r="AC14" s="5"/>
      <c r="AD14" s="5"/>
    </row>
    <row r="15" customFormat="false" ht="15" hidden="false" customHeight="false" outlineLevel="0" collapsed="false">
      <c r="A15" s="5"/>
      <c r="B15" s="18"/>
      <c r="C15" s="5"/>
      <c r="D15" s="5"/>
      <c r="E15" s="5"/>
      <c r="F15" s="5"/>
      <c r="G15" s="5"/>
      <c r="H15" s="36"/>
      <c r="I15" s="36"/>
      <c r="J15" s="36"/>
      <c r="K15" s="36"/>
      <c r="L15" s="19"/>
      <c r="M15" s="19"/>
      <c r="N15" s="19"/>
      <c r="O15" s="19"/>
      <c r="P15" s="19"/>
      <c r="Q15" s="19"/>
      <c r="R15" s="34" t="str">
        <f aca="false">IF(OR($L15="",$L15=0),"",$M15/$L15)</f>
        <v/>
      </c>
      <c r="S15" s="34" t="str">
        <f aca="false">IF(OR($M15="",$M15=0),"",$P15/$M15)</f>
        <v/>
      </c>
      <c r="T15" s="37"/>
      <c r="U15" s="37"/>
      <c r="V15" s="37"/>
      <c r="W15" s="37"/>
      <c r="X15" s="5"/>
      <c r="Y15" s="5"/>
      <c r="Z15" s="5"/>
      <c r="AA15" s="5"/>
      <c r="AB15" s="5"/>
      <c r="AC15" s="5"/>
      <c r="AD15" s="5"/>
    </row>
    <row r="16" customFormat="false" ht="15" hidden="false" customHeight="false" outlineLevel="0" collapsed="false">
      <c r="A16" s="5"/>
      <c r="B16" s="18"/>
      <c r="C16" s="5"/>
      <c r="D16" s="5"/>
      <c r="E16" s="5"/>
      <c r="F16" s="5"/>
      <c r="G16" s="5"/>
      <c r="H16" s="36"/>
      <c r="I16" s="36"/>
      <c r="J16" s="36"/>
      <c r="K16" s="36"/>
      <c r="L16" s="19"/>
      <c r="M16" s="19"/>
      <c r="N16" s="19"/>
      <c r="O16" s="19"/>
      <c r="P16" s="19"/>
      <c r="Q16" s="19"/>
      <c r="R16" s="34" t="str">
        <f aca="false">IF(OR($L16="",$L16=0),"",$M16/$L16)</f>
        <v/>
      </c>
      <c r="S16" s="34" t="str">
        <f aca="false">IF(OR($M16="",$M16=0),"",$P16/$M16)</f>
        <v/>
      </c>
      <c r="T16" s="37"/>
      <c r="U16" s="37"/>
      <c r="V16" s="37"/>
      <c r="W16" s="37"/>
      <c r="X16" s="5"/>
      <c r="Y16" s="5"/>
      <c r="Z16" s="5"/>
      <c r="AA16" s="5"/>
      <c r="AB16" s="5"/>
      <c r="AC16" s="5"/>
      <c r="AD16" s="5"/>
    </row>
    <row r="17" customFormat="false" ht="15" hidden="false" customHeight="false" outlineLevel="0" collapsed="false">
      <c r="A17" s="5"/>
      <c r="B17" s="18"/>
      <c r="C17" s="5"/>
      <c r="D17" s="5"/>
      <c r="E17" s="5"/>
      <c r="F17" s="5"/>
      <c r="G17" s="5"/>
      <c r="H17" s="36"/>
      <c r="I17" s="36"/>
      <c r="J17" s="36"/>
      <c r="K17" s="36"/>
      <c r="L17" s="19"/>
      <c r="M17" s="19"/>
      <c r="N17" s="19"/>
      <c r="O17" s="19"/>
      <c r="P17" s="19"/>
      <c r="Q17" s="19"/>
      <c r="R17" s="34" t="str">
        <f aca="false">IF(OR($L17="",$L17=0),"",$M17/$L17)</f>
        <v/>
      </c>
      <c r="S17" s="34" t="str">
        <f aca="false">IF(OR($M17="",$M17=0),"",$P17/$M17)</f>
        <v/>
      </c>
      <c r="T17" s="37"/>
      <c r="U17" s="37"/>
      <c r="V17" s="37"/>
      <c r="W17" s="37"/>
      <c r="X17" s="5"/>
      <c r="Y17" s="5"/>
      <c r="Z17" s="5"/>
      <c r="AA17" s="5"/>
      <c r="AB17" s="5"/>
      <c r="AC17" s="5"/>
      <c r="AD17" s="5"/>
    </row>
    <row r="18" customFormat="false" ht="15" hidden="false" customHeight="false" outlineLevel="0" collapsed="false">
      <c r="A18" s="5"/>
      <c r="B18" s="18"/>
      <c r="C18" s="5"/>
      <c r="D18" s="5"/>
      <c r="E18" s="5"/>
      <c r="F18" s="5"/>
      <c r="G18" s="5"/>
      <c r="H18" s="36"/>
      <c r="I18" s="36"/>
      <c r="J18" s="36"/>
      <c r="K18" s="36"/>
      <c r="L18" s="19"/>
      <c r="M18" s="19"/>
      <c r="N18" s="19"/>
      <c r="O18" s="19"/>
      <c r="P18" s="19"/>
      <c r="Q18" s="19"/>
      <c r="R18" s="34" t="str">
        <f aca="false">IF(OR($L18="",$L18=0),"",$M18/$L18)</f>
        <v/>
      </c>
      <c r="S18" s="34" t="str">
        <f aca="false">IF(OR($M18="",$M18=0),"",$P18/$M18)</f>
        <v/>
      </c>
      <c r="T18" s="37"/>
      <c r="U18" s="37"/>
      <c r="V18" s="37"/>
      <c r="W18" s="37"/>
      <c r="X18" s="5"/>
      <c r="Y18" s="5"/>
      <c r="Z18" s="5"/>
      <c r="AA18" s="5"/>
      <c r="AB18" s="5"/>
      <c r="AC18" s="5"/>
      <c r="AD18" s="5"/>
    </row>
    <row r="19" customFormat="false" ht="15" hidden="false" customHeight="false" outlineLevel="0" collapsed="false">
      <c r="A19" s="5"/>
      <c r="B19" s="18"/>
      <c r="C19" s="5"/>
      <c r="D19" s="5"/>
      <c r="E19" s="5"/>
      <c r="F19" s="5"/>
      <c r="G19" s="5"/>
      <c r="H19" s="36"/>
      <c r="I19" s="36"/>
      <c r="J19" s="36"/>
      <c r="K19" s="36"/>
      <c r="L19" s="19"/>
      <c r="M19" s="19"/>
      <c r="N19" s="19"/>
      <c r="O19" s="19"/>
      <c r="P19" s="19"/>
      <c r="Q19" s="19"/>
      <c r="R19" s="34" t="str">
        <f aca="false">IF(OR($L19="",$L19=0),"",$M19/$L19)</f>
        <v/>
      </c>
      <c r="S19" s="34" t="str">
        <f aca="false">IF(OR($M19="",$M19=0),"",$P19/$M19)</f>
        <v/>
      </c>
      <c r="T19" s="37"/>
      <c r="U19" s="37"/>
      <c r="V19" s="37"/>
      <c r="W19" s="37"/>
      <c r="X19" s="5"/>
      <c r="Y19" s="5"/>
      <c r="Z19" s="5"/>
      <c r="AA19" s="5"/>
      <c r="AB19" s="5"/>
      <c r="AC19" s="5"/>
      <c r="AD19" s="5"/>
    </row>
    <row r="20" customFormat="false" ht="15" hidden="false" customHeight="false" outlineLevel="0" collapsed="false">
      <c r="A20" s="5"/>
      <c r="B20" s="18"/>
      <c r="C20" s="5"/>
      <c r="D20" s="5"/>
      <c r="E20" s="5"/>
      <c r="F20" s="5"/>
      <c r="G20" s="5"/>
      <c r="H20" s="36"/>
      <c r="I20" s="36"/>
      <c r="J20" s="36"/>
      <c r="K20" s="36"/>
      <c r="L20" s="19"/>
      <c r="M20" s="19"/>
      <c r="N20" s="19"/>
      <c r="O20" s="19"/>
      <c r="P20" s="19"/>
      <c r="Q20" s="19"/>
      <c r="R20" s="34" t="str">
        <f aca="false">IF(OR($L20="",$L20=0),"",$M20/$L20)</f>
        <v/>
      </c>
      <c r="S20" s="34" t="str">
        <f aca="false">IF(OR($M20="",$M20=0),"",$P20/$M20)</f>
        <v/>
      </c>
      <c r="T20" s="37"/>
      <c r="U20" s="37"/>
      <c r="V20" s="37"/>
      <c r="W20" s="37"/>
      <c r="X20" s="5"/>
      <c r="Y20" s="5"/>
      <c r="Z20" s="5"/>
      <c r="AA20" s="5"/>
      <c r="AB20" s="5"/>
      <c r="AC20" s="5"/>
      <c r="AD20" s="5"/>
    </row>
    <row r="21" customFormat="false" ht="15" hidden="false" customHeight="false" outlineLevel="0" collapsed="false">
      <c r="A21" s="5"/>
      <c r="B21" s="18"/>
      <c r="C21" s="5"/>
      <c r="D21" s="5"/>
      <c r="E21" s="5"/>
      <c r="F21" s="5"/>
      <c r="G21" s="5"/>
      <c r="H21" s="36"/>
      <c r="I21" s="36"/>
      <c r="J21" s="36"/>
      <c r="K21" s="36"/>
      <c r="L21" s="19"/>
      <c r="M21" s="19"/>
      <c r="N21" s="19"/>
      <c r="O21" s="19"/>
      <c r="P21" s="19"/>
      <c r="Q21" s="19"/>
      <c r="R21" s="34" t="str">
        <f aca="false">IF(OR($L21="",$L21=0),"",$M21/$L21)</f>
        <v/>
      </c>
      <c r="S21" s="34" t="str">
        <f aca="false">IF(OR($M21="",$M21=0),"",$P21/$M21)</f>
        <v/>
      </c>
      <c r="T21" s="37"/>
      <c r="U21" s="37"/>
      <c r="V21" s="37"/>
      <c r="W21" s="37"/>
      <c r="X21" s="5"/>
      <c r="Y21" s="5"/>
      <c r="Z21" s="5"/>
      <c r="AA21" s="5"/>
      <c r="AB21" s="5"/>
      <c r="AC21" s="5"/>
      <c r="AD21" s="5"/>
    </row>
    <row r="22" customFormat="false" ht="15" hidden="false" customHeight="false" outlineLevel="0" collapsed="false">
      <c r="A22" s="5"/>
      <c r="B22" s="18"/>
      <c r="C22" s="5"/>
      <c r="D22" s="5"/>
      <c r="E22" s="5"/>
      <c r="F22" s="5"/>
      <c r="G22" s="5"/>
      <c r="H22" s="36"/>
      <c r="I22" s="36"/>
      <c r="J22" s="36"/>
      <c r="K22" s="36"/>
      <c r="L22" s="19"/>
      <c r="M22" s="19"/>
      <c r="N22" s="19"/>
      <c r="O22" s="19"/>
      <c r="P22" s="19"/>
      <c r="Q22" s="19"/>
      <c r="R22" s="34" t="str">
        <f aca="false">IF(OR($L22="",$L22=0),"",$M22/$L22)</f>
        <v/>
      </c>
      <c r="S22" s="34" t="str">
        <f aca="false">IF(OR($M22="",$M22=0),"",$P22/$M22)</f>
        <v/>
      </c>
      <c r="T22" s="37"/>
      <c r="U22" s="37"/>
      <c r="V22" s="37"/>
      <c r="W22" s="37"/>
      <c r="X22" s="5"/>
      <c r="Y22" s="5"/>
      <c r="Z22" s="5"/>
      <c r="AA22" s="5"/>
      <c r="AB22" s="5"/>
      <c r="AC22" s="5"/>
      <c r="AD22" s="5"/>
    </row>
    <row r="23" customFormat="false" ht="15" hidden="false" customHeight="false" outlineLevel="0" collapsed="false">
      <c r="A23" s="5"/>
      <c r="B23" s="18"/>
      <c r="C23" s="5"/>
      <c r="D23" s="5"/>
      <c r="E23" s="5"/>
      <c r="F23" s="5"/>
      <c r="G23" s="5"/>
      <c r="H23" s="36"/>
      <c r="I23" s="36"/>
      <c r="J23" s="36"/>
      <c r="K23" s="36"/>
      <c r="L23" s="19"/>
      <c r="M23" s="19"/>
      <c r="N23" s="19"/>
      <c r="O23" s="19"/>
      <c r="P23" s="19"/>
      <c r="Q23" s="19"/>
      <c r="R23" s="34" t="str">
        <f aca="false">IF(OR($L23="",$L23=0),"",$M23/$L23)</f>
        <v/>
      </c>
      <c r="S23" s="34" t="str">
        <f aca="false">IF(OR($M23="",$M23=0),"",$P23/$M23)</f>
        <v/>
      </c>
      <c r="T23" s="37"/>
      <c r="U23" s="37"/>
      <c r="V23" s="37"/>
      <c r="W23" s="37"/>
      <c r="X23" s="5"/>
      <c r="Y23" s="5"/>
      <c r="Z23" s="5"/>
      <c r="AA23" s="5"/>
      <c r="AB23" s="5"/>
      <c r="AC23" s="5"/>
      <c r="AD23" s="5"/>
    </row>
    <row r="24" customFormat="false" ht="15" hidden="false" customHeight="false" outlineLevel="0" collapsed="false">
      <c r="A24" s="5"/>
      <c r="B24" s="18"/>
      <c r="C24" s="5"/>
      <c r="D24" s="5"/>
      <c r="E24" s="5"/>
      <c r="F24" s="5"/>
      <c r="G24" s="5"/>
      <c r="H24" s="36"/>
      <c r="I24" s="36"/>
      <c r="J24" s="36"/>
      <c r="K24" s="36"/>
      <c r="L24" s="19"/>
      <c r="M24" s="19"/>
      <c r="N24" s="19"/>
      <c r="O24" s="19"/>
      <c r="P24" s="19"/>
      <c r="Q24" s="19"/>
      <c r="R24" s="34" t="str">
        <f aca="false">IF(OR($L24="",$L24=0),"",$M24/$L24)</f>
        <v/>
      </c>
      <c r="S24" s="34" t="str">
        <f aca="false">IF(OR($M24="",$M24=0),"",$P24/$M24)</f>
        <v/>
      </c>
      <c r="T24" s="37"/>
      <c r="U24" s="37"/>
      <c r="V24" s="37"/>
      <c r="W24" s="37"/>
      <c r="X24" s="5"/>
      <c r="Y24" s="5"/>
      <c r="Z24" s="5"/>
      <c r="AA24" s="5"/>
      <c r="AB24" s="5"/>
      <c r="AC24" s="5"/>
      <c r="AD24" s="5"/>
    </row>
    <row r="25" customFormat="false" ht="15" hidden="false" customHeight="false" outlineLevel="0" collapsed="false">
      <c r="A25" s="5"/>
      <c r="B25" s="18"/>
      <c r="C25" s="5"/>
      <c r="D25" s="5"/>
      <c r="E25" s="5"/>
      <c r="F25" s="5"/>
      <c r="G25" s="5"/>
      <c r="H25" s="36"/>
      <c r="I25" s="36"/>
      <c r="J25" s="36"/>
      <c r="K25" s="36"/>
      <c r="L25" s="19"/>
      <c r="M25" s="19"/>
      <c r="N25" s="19"/>
      <c r="O25" s="19"/>
      <c r="P25" s="19"/>
      <c r="Q25" s="19"/>
      <c r="R25" s="34" t="str">
        <f aca="false">IF(OR($L25="",$L25=0),"",$M25/$L25)</f>
        <v/>
      </c>
      <c r="S25" s="34" t="str">
        <f aca="false">IF(OR($M25="",$M25=0),"",$P25/$M25)</f>
        <v/>
      </c>
      <c r="T25" s="37"/>
      <c r="U25" s="37"/>
      <c r="V25" s="37"/>
      <c r="W25" s="37"/>
      <c r="X25" s="5"/>
      <c r="Y25" s="5"/>
      <c r="Z25" s="5"/>
      <c r="AA25" s="5"/>
      <c r="AB25" s="5"/>
      <c r="AC25" s="5"/>
      <c r="AD25" s="5"/>
    </row>
    <row r="26" customFormat="false" ht="15" hidden="false" customHeight="false" outlineLevel="0" collapsed="false">
      <c r="A26" s="5"/>
      <c r="B26" s="18"/>
      <c r="C26" s="5"/>
      <c r="D26" s="5"/>
      <c r="E26" s="5"/>
      <c r="F26" s="5"/>
      <c r="G26" s="5"/>
      <c r="H26" s="36"/>
      <c r="I26" s="36"/>
      <c r="J26" s="36"/>
      <c r="K26" s="36"/>
      <c r="L26" s="19"/>
      <c r="M26" s="19"/>
      <c r="N26" s="19"/>
      <c r="O26" s="19"/>
      <c r="P26" s="19"/>
      <c r="Q26" s="19"/>
      <c r="R26" s="34" t="str">
        <f aca="false">IF(OR($L26="",$L26=0),"",$M26/$L26)</f>
        <v/>
      </c>
      <c r="S26" s="34" t="str">
        <f aca="false">IF(OR($M26="",$M26=0),"",$P26/$M26)</f>
        <v/>
      </c>
      <c r="T26" s="37"/>
      <c r="U26" s="37"/>
      <c r="V26" s="37"/>
      <c r="W26" s="37"/>
      <c r="X26" s="5"/>
      <c r="Y26" s="5"/>
      <c r="Z26" s="5"/>
      <c r="AA26" s="5"/>
      <c r="AB26" s="5"/>
      <c r="AC26" s="5"/>
      <c r="AD26" s="5"/>
    </row>
    <row r="27" customFormat="false" ht="15" hidden="false" customHeight="false" outlineLevel="0" collapsed="false">
      <c r="A27" s="5"/>
      <c r="B27" s="18"/>
      <c r="C27" s="5"/>
      <c r="D27" s="5"/>
      <c r="E27" s="5"/>
      <c r="F27" s="5"/>
      <c r="G27" s="5"/>
      <c r="H27" s="36"/>
      <c r="I27" s="36"/>
      <c r="J27" s="36"/>
      <c r="K27" s="36"/>
      <c r="L27" s="19"/>
      <c r="M27" s="19"/>
      <c r="N27" s="19"/>
      <c r="O27" s="19"/>
      <c r="P27" s="19"/>
      <c r="Q27" s="19"/>
      <c r="R27" s="34" t="str">
        <f aca="false">IF(OR($L27="",$L27=0),"",$M27/$L27)</f>
        <v/>
      </c>
      <c r="S27" s="34" t="str">
        <f aca="false">IF(OR($M27="",$M27=0),"",$P27/$M27)</f>
        <v/>
      </c>
      <c r="T27" s="37"/>
      <c r="U27" s="37"/>
      <c r="V27" s="37"/>
      <c r="W27" s="37"/>
      <c r="X27" s="5"/>
      <c r="Y27" s="5"/>
      <c r="Z27" s="5"/>
      <c r="AA27" s="5"/>
      <c r="AB27" s="5"/>
      <c r="AC27" s="5"/>
      <c r="AD27" s="5"/>
    </row>
    <row r="28" customFormat="false" ht="15" hidden="false" customHeight="false" outlineLevel="0" collapsed="false">
      <c r="A28" s="5"/>
      <c r="B28" s="18"/>
      <c r="C28" s="5"/>
      <c r="D28" s="5"/>
      <c r="E28" s="5"/>
      <c r="F28" s="5"/>
      <c r="G28" s="5"/>
      <c r="H28" s="36"/>
      <c r="I28" s="36"/>
      <c r="J28" s="36"/>
      <c r="K28" s="36"/>
      <c r="L28" s="19"/>
      <c r="M28" s="19"/>
      <c r="N28" s="19"/>
      <c r="O28" s="19"/>
      <c r="P28" s="19"/>
      <c r="Q28" s="19"/>
      <c r="R28" s="34" t="str">
        <f aca="false">IF(OR($L28="",$L28=0),"",$M28/$L28)</f>
        <v/>
      </c>
      <c r="S28" s="34" t="str">
        <f aca="false">IF(OR($M28="",$M28=0),"",$P28/$M28)</f>
        <v/>
      </c>
      <c r="T28" s="37"/>
      <c r="U28" s="37"/>
      <c r="V28" s="37"/>
      <c r="W28" s="37"/>
      <c r="X28" s="5"/>
      <c r="Y28" s="5"/>
      <c r="Z28" s="5"/>
      <c r="AA28" s="5"/>
      <c r="AB28" s="5"/>
      <c r="AC28" s="5"/>
      <c r="AD28" s="5"/>
    </row>
    <row r="29" customFormat="false" ht="15" hidden="false" customHeight="false" outlineLevel="0" collapsed="false">
      <c r="A29" s="5"/>
      <c r="B29" s="18"/>
      <c r="C29" s="5"/>
      <c r="D29" s="5"/>
      <c r="E29" s="5"/>
      <c r="F29" s="5"/>
      <c r="G29" s="5"/>
      <c r="H29" s="36"/>
      <c r="I29" s="36"/>
      <c r="J29" s="36"/>
      <c r="K29" s="36"/>
      <c r="L29" s="19"/>
      <c r="M29" s="19"/>
      <c r="N29" s="19"/>
      <c r="O29" s="19"/>
      <c r="P29" s="19"/>
      <c r="Q29" s="19"/>
      <c r="R29" s="34" t="str">
        <f aca="false">IF(OR($L29="",$L29=0),"",$M29/$L29)</f>
        <v/>
      </c>
      <c r="S29" s="34" t="str">
        <f aca="false">IF(OR($M29="",$M29=0),"",$P29/$M29)</f>
        <v/>
      </c>
      <c r="T29" s="37"/>
      <c r="U29" s="37"/>
      <c r="V29" s="37"/>
      <c r="W29" s="37"/>
      <c r="X29" s="5"/>
      <c r="Y29" s="5"/>
      <c r="Z29" s="5"/>
      <c r="AA29" s="5"/>
      <c r="AB29" s="5"/>
      <c r="AC29" s="5"/>
      <c r="AD29" s="5"/>
    </row>
    <row r="30" customFormat="false" ht="15" hidden="false" customHeight="false" outlineLevel="0" collapsed="false">
      <c r="A30" s="5"/>
      <c r="B30" s="18"/>
      <c r="C30" s="5"/>
      <c r="D30" s="5"/>
      <c r="E30" s="5"/>
      <c r="F30" s="5"/>
      <c r="G30" s="5"/>
      <c r="H30" s="36"/>
      <c r="I30" s="36"/>
      <c r="J30" s="36"/>
      <c r="K30" s="36"/>
      <c r="L30" s="19"/>
      <c r="M30" s="19"/>
      <c r="N30" s="19"/>
      <c r="O30" s="19"/>
      <c r="P30" s="19"/>
      <c r="Q30" s="19"/>
      <c r="R30" s="34" t="str">
        <f aca="false">IF(OR($L30="",$L30=0),"",$M30/$L30)</f>
        <v/>
      </c>
      <c r="S30" s="34" t="str">
        <f aca="false">IF(OR($M30="",$M30=0),"",$P30/$M30)</f>
        <v/>
      </c>
      <c r="T30" s="37"/>
      <c r="U30" s="37"/>
      <c r="V30" s="37"/>
      <c r="W30" s="37"/>
      <c r="X30" s="5"/>
      <c r="Y30" s="5"/>
      <c r="Z30" s="5"/>
      <c r="AA30" s="5"/>
      <c r="AB30" s="5"/>
      <c r="AC30" s="5"/>
      <c r="AD30" s="5"/>
    </row>
    <row r="31" customFormat="false" ht="15" hidden="false" customHeight="false" outlineLevel="0" collapsed="false">
      <c r="A31" s="5"/>
      <c r="B31" s="18"/>
      <c r="C31" s="5"/>
      <c r="D31" s="5"/>
      <c r="E31" s="5"/>
      <c r="F31" s="5"/>
      <c r="G31" s="5"/>
      <c r="H31" s="36"/>
      <c r="I31" s="36"/>
      <c r="J31" s="36"/>
      <c r="K31" s="36"/>
      <c r="L31" s="19"/>
      <c r="M31" s="19"/>
      <c r="N31" s="19"/>
      <c r="O31" s="19"/>
      <c r="P31" s="19"/>
      <c r="Q31" s="19"/>
      <c r="R31" s="34" t="str">
        <f aca="false">IF(OR($L31="",$L31=0),"",$M31/$L31)</f>
        <v/>
      </c>
      <c r="S31" s="34" t="str">
        <f aca="false">IF(OR($M31="",$M31=0),"",$P31/$M31)</f>
        <v/>
      </c>
      <c r="T31" s="37"/>
      <c r="U31" s="37"/>
      <c r="V31" s="37"/>
      <c r="W31" s="37"/>
      <c r="X31" s="5"/>
      <c r="Y31" s="5"/>
      <c r="Z31" s="5"/>
      <c r="AA31" s="5"/>
      <c r="AB31" s="5"/>
      <c r="AC31" s="5"/>
      <c r="AD31" s="5"/>
    </row>
    <row r="32" customFormat="false" ht="15" hidden="false" customHeight="false" outlineLevel="0" collapsed="false">
      <c r="A32" s="5"/>
      <c r="B32" s="18"/>
      <c r="C32" s="5"/>
      <c r="D32" s="5"/>
      <c r="E32" s="5"/>
      <c r="F32" s="5"/>
      <c r="G32" s="5"/>
      <c r="H32" s="36"/>
      <c r="I32" s="36"/>
      <c r="J32" s="36"/>
      <c r="K32" s="36"/>
      <c r="L32" s="19"/>
      <c r="M32" s="19"/>
      <c r="N32" s="19"/>
      <c r="O32" s="19"/>
      <c r="P32" s="19"/>
      <c r="Q32" s="19"/>
      <c r="R32" s="34" t="str">
        <f aca="false">IF(OR($L32="",$L32=0),"",$M32/$L32)</f>
        <v/>
      </c>
      <c r="S32" s="34" t="str">
        <f aca="false">IF(OR($M32="",$M32=0),"",$P32/$M32)</f>
        <v/>
      </c>
      <c r="T32" s="37"/>
      <c r="U32" s="37"/>
      <c r="V32" s="37"/>
      <c r="W32" s="37"/>
      <c r="X32" s="5"/>
      <c r="Y32" s="5"/>
      <c r="Z32" s="5"/>
      <c r="AA32" s="5"/>
      <c r="AB32" s="5"/>
      <c r="AC32" s="5"/>
      <c r="AD32" s="5"/>
    </row>
    <row r="33" customFormat="false" ht="15" hidden="false" customHeight="false" outlineLevel="0" collapsed="false">
      <c r="A33" s="5"/>
      <c r="B33" s="18"/>
      <c r="C33" s="5"/>
      <c r="D33" s="5"/>
      <c r="E33" s="5"/>
      <c r="F33" s="5"/>
      <c r="G33" s="5"/>
      <c r="H33" s="36"/>
      <c r="I33" s="36"/>
      <c r="J33" s="36"/>
      <c r="K33" s="36"/>
      <c r="L33" s="19"/>
      <c r="M33" s="19"/>
      <c r="N33" s="19"/>
      <c r="O33" s="19"/>
      <c r="P33" s="19"/>
      <c r="Q33" s="19"/>
      <c r="R33" s="34" t="str">
        <f aca="false">IF(OR($L33="",$L33=0),"",$M33/$L33)</f>
        <v/>
      </c>
      <c r="S33" s="34" t="str">
        <f aca="false">IF(OR($M33="",$M33=0),"",$P33/$M33)</f>
        <v/>
      </c>
      <c r="T33" s="37"/>
      <c r="U33" s="37"/>
      <c r="V33" s="37"/>
      <c r="W33" s="37"/>
      <c r="X33" s="5"/>
      <c r="Y33" s="5"/>
      <c r="Z33" s="5"/>
      <c r="AA33" s="5"/>
      <c r="AB33" s="5"/>
      <c r="AC33" s="5"/>
      <c r="AD33" s="5"/>
    </row>
    <row r="34" customFormat="false" ht="15" hidden="false" customHeight="false" outlineLevel="0" collapsed="false">
      <c r="A34" s="5"/>
      <c r="B34" s="18"/>
      <c r="C34" s="5"/>
      <c r="D34" s="5"/>
      <c r="E34" s="5"/>
      <c r="F34" s="5"/>
      <c r="G34" s="5"/>
      <c r="H34" s="36"/>
      <c r="I34" s="36"/>
      <c r="J34" s="36"/>
      <c r="K34" s="36"/>
      <c r="L34" s="19"/>
      <c r="M34" s="19"/>
      <c r="N34" s="19"/>
      <c r="O34" s="19"/>
      <c r="P34" s="19"/>
      <c r="Q34" s="19"/>
      <c r="R34" s="34" t="str">
        <f aca="false">IF(OR($L34="",$L34=0),"",$M34/$L34)</f>
        <v/>
      </c>
      <c r="S34" s="34" t="str">
        <f aca="false">IF(OR($M34="",$M34=0),"",$P34/$M34)</f>
        <v/>
      </c>
      <c r="T34" s="37"/>
      <c r="U34" s="37"/>
      <c r="V34" s="37"/>
      <c r="W34" s="37"/>
      <c r="X34" s="5"/>
      <c r="Y34" s="5"/>
      <c r="Z34" s="5"/>
      <c r="AA34" s="5"/>
      <c r="AB34" s="5"/>
      <c r="AC34" s="5"/>
      <c r="AD34" s="5"/>
    </row>
    <row r="35" customFormat="false" ht="15" hidden="false" customHeight="false" outlineLevel="0" collapsed="false">
      <c r="A35" s="5"/>
      <c r="B35" s="18"/>
      <c r="C35" s="5"/>
      <c r="D35" s="5"/>
      <c r="E35" s="5"/>
      <c r="F35" s="5"/>
      <c r="G35" s="5"/>
      <c r="H35" s="36"/>
      <c r="I35" s="36"/>
      <c r="J35" s="36"/>
      <c r="K35" s="36"/>
      <c r="L35" s="19"/>
      <c r="M35" s="19"/>
      <c r="N35" s="19"/>
      <c r="O35" s="19"/>
      <c r="P35" s="19"/>
      <c r="Q35" s="19"/>
      <c r="R35" s="34" t="str">
        <f aca="false">IF(OR($L35="",$L35=0),"",$M35/$L35)</f>
        <v/>
      </c>
      <c r="S35" s="34" t="str">
        <f aca="false">IF(OR($M35="",$M35=0),"",$P35/$M35)</f>
        <v/>
      </c>
      <c r="T35" s="37"/>
      <c r="U35" s="37"/>
      <c r="V35" s="37"/>
      <c r="W35" s="37"/>
      <c r="X35" s="5"/>
      <c r="Y35" s="5"/>
      <c r="Z35" s="5"/>
      <c r="AA35" s="5"/>
      <c r="AB35" s="5"/>
      <c r="AC35" s="5"/>
      <c r="AD35" s="5"/>
    </row>
    <row r="36" customFormat="false" ht="15" hidden="false" customHeight="false" outlineLevel="0" collapsed="false">
      <c r="A36" s="5"/>
      <c r="B36" s="18"/>
      <c r="C36" s="5"/>
      <c r="D36" s="5"/>
      <c r="E36" s="5"/>
      <c r="F36" s="5"/>
      <c r="G36" s="5"/>
      <c r="H36" s="36"/>
      <c r="I36" s="36"/>
      <c r="J36" s="36"/>
      <c r="K36" s="36"/>
      <c r="L36" s="19"/>
      <c r="M36" s="19"/>
      <c r="N36" s="19"/>
      <c r="O36" s="19"/>
      <c r="P36" s="19"/>
      <c r="Q36" s="19"/>
      <c r="R36" s="34" t="str">
        <f aca="false">IF(OR($L36="",$L36=0),"",$M36/$L36)</f>
        <v/>
      </c>
      <c r="S36" s="34" t="str">
        <f aca="false">IF(OR($M36="",$M36=0),"",$P36/$M36)</f>
        <v/>
      </c>
      <c r="T36" s="37"/>
      <c r="U36" s="37"/>
      <c r="V36" s="37"/>
      <c r="W36" s="37"/>
      <c r="X36" s="5"/>
      <c r="Y36" s="5"/>
      <c r="Z36" s="5"/>
      <c r="AA36" s="5"/>
      <c r="AB36" s="5"/>
      <c r="AC36" s="5"/>
      <c r="AD36" s="5"/>
    </row>
    <row r="37" customFormat="false" ht="15" hidden="false" customHeight="false" outlineLevel="0" collapsed="false">
      <c r="A37" s="5"/>
      <c r="B37" s="18"/>
      <c r="C37" s="5"/>
      <c r="D37" s="5"/>
      <c r="E37" s="5"/>
      <c r="F37" s="5"/>
      <c r="G37" s="5"/>
      <c r="H37" s="36"/>
      <c r="I37" s="36"/>
      <c r="J37" s="36"/>
      <c r="K37" s="36"/>
      <c r="L37" s="19"/>
      <c r="M37" s="19"/>
      <c r="N37" s="19"/>
      <c r="O37" s="19"/>
      <c r="P37" s="19"/>
      <c r="Q37" s="19"/>
      <c r="R37" s="34" t="str">
        <f aca="false">IF(OR($L37="",$L37=0),"",$M37/$L37)</f>
        <v/>
      </c>
      <c r="S37" s="34" t="str">
        <f aca="false">IF(OR($M37="",$M37=0),"",$P37/$M37)</f>
        <v/>
      </c>
      <c r="T37" s="37"/>
      <c r="U37" s="37"/>
      <c r="V37" s="37"/>
      <c r="W37" s="37"/>
      <c r="X37" s="5"/>
      <c r="Y37" s="5"/>
      <c r="Z37" s="5"/>
      <c r="AA37" s="5"/>
      <c r="AB37" s="5"/>
      <c r="AC37" s="5"/>
      <c r="AD37" s="5"/>
    </row>
    <row r="38" customFormat="false" ht="15" hidden="false" customHeight="false" outlineLevel="0" collapsed="false">
      <c r="A38" s="5"/>
      <c r="B38" s="18"/>
      <c r="C38" s="5"/>
      <c r="D38" s="5"/>
      <c r="E38" s="5"/>
      <c r="F38" s="5"/>
      <c r="G38" s="5"/>
      <c r="H38" s="36"/>
      <c r="I38" s="36"/>
      <c r="J38" s="36"/>
      <c r="K38" s="36"/>
      <c r="L38" s="19"/>
      <c r="M38" s="19"/>
      <c r="N38" s="19"/>
      <c r="O38" s="19"/>
      <c r="P38" s="19"/>
      <c r="Q38" s="19"/>
      <c r="R38" s="34" t="str">
        <f aca="false">IF(OR($L38="",$L38=0),"",$M38/$L38)</f>
        <v/>
      </c>
      <c r="S38" s="34" t="str">
        <f aca="false">IF(OR($M38="",$M38=0),"",$P38/$M38)</f>
        <v/>
      </c>
      <c r="T38" s="37"/>
      <c r="U38" s="37"/>
      <c r="V38" s="37"/>
      <c r="W38" s="37"/>
      <c r="X38" s="5"/>
      <c r="Y38" s="5"/>
      <c r="Z38" s="5"/>
      <c r="AA38" s="5"/>
      <c r="AB38" s="5"/>
      <c r="AC38" s="5"/>
      <c r="AD38" s="5"/>
    </row>
    <row r="39" customFormat="false" ht="15" hidden="false" customHeight="false" outlineLevel="0" collapsed="false">
      <c r="A39" s="5"/>
      <c r="B39" s="18"/>
      <c r="C39" s="5"/>
      <c r="D39" s="5"/>
      <c r="E39" s="5"/>
      <c r="F39" s="5"/>
      <c r="G39" s="5"/>
      <c r="H39" s="36"/>
      <c r="I39" s="36"/>
      <c r="J39" s="36"/>
      <c r="K39" s="36"/>
      <c r="L39" s="19"/>
      <c r="M39" s="19"/>
      <c r="N39" s="19"/>
      <c r="O39" s="19"/>
      <c r="P39" s="19"/>
      <c r="Q39" s="19"/>
      <c r="R39" s="34" t="str">
        <f aca="false">IF(OR($L39="",$L39=0),"",$M39/$L39)</f>
        <v/>
      </c>
      <c r="S39" s="34" t="str">
        <f aca="false">IF(OR($M39="",$M39=0),"",$P39/$M39)</f>
        <v/>
      </c>
      <c r="T39" s="37"/>
      <c r="U39" s="37"/>
      <c r="V39" s="37"/>
      <c r="W39" s="37"/>
      <c r="X39" s="5"/>
      <c r="Y39" s="5"/>
      <c r="Z39" s="5"/>
      <c r="AA39" s="5"/>
      <c r="AB39" s="5"/>
      <c r="AC39" s="5"/>
      <c r="AD39" s="5"/>
    </row>
    <row r="40" customFormat="false" ht="15" hidden="false" customHeight="false" outlineLevel="0" collapsed="false">
      <c r="A40" s="5"/>
      <c r="B40" s="18"/>
      <c r="C40" s="5"/>
      <c r="D40" s="5"/>
      <c r="E40" s="5"/>
      <c r="F40" s="5"/>
      <c r="G40" s="5"/>
      <c r="H40" s="36"/>
      <c r="I40" s="36"/>
      <c r="J40" s="36"/>
      <c r="K40" s="36"/>
      <c r="L40" s="19"/>
      <c r="M40" s="19"/>
      <c r="N40" s="19"/>
      <c r="O40" s="19"/>
      <c r="P40" s="19"/>
      <c r="Q40" s="19"/>
      <c r="R40" s="34" t="str">
        <f aca="false">IF(OR($L40="",$L40=0),"",$M40/$L40)</f>
        <v/>
      </c>
      <c r="S40" s="34" t="str">
        <f aca="false">IF(OR($M40="",$M40=0),"",$P40/$M40)</f>
        <v/>
      </c>
      <c r="T40" s="37"/>
      <c r="U40" s="37"/>
      <c r="V40" s="37"/>
      <c r="W40" s="37"/>
      <c r="X40" s="5"/>
      <c r="Y40" s="5"/>
      <c r="Z40" s="5"/>
      <c r="AA40" s="5"/>
      <c r="AB40" s="5"/>
      <c r="AC40" s="5"/>
      <c r="AD40" s="5"/>
    </row>
    <row r="41" customFormat="false" ht="15" hidden="false" customHeight="false" outlineLevel="0" collapsed="false">
      <c r="A41" s="5"/>
      <c r="B41" s="18"/>
      <c r="C41" s="5"/>
      <c r="D41" s="5"/>
      <c r="E41" s="5"/>
      <c r="F41" s="5"/>
      <c r="G41" s="5"/>
      <c r="H41" s="36"/>
      <c r="I41" s="36"/>
      <c r="J41" s="36"/>
      <c r="K41" s="36"/>
      <c r="L41" s="19"/>
      <c r="M41" s="19"/>
      <c r="N41" s="19"/>
      <c r="O41" s="19"/>
      <c r="P41" s="19"/>
      <c r="Q41" s="19"/>
      <c r="R41" s="34" t="str">
        <f aca="false">IF(OR($L41="",$L41=0),"",$M41/$L41)</f>
        <v/>
      </c>
      <c r="S41" s="34" t="str">
        <f aca="false">IF(OR($M41="",$M41=0),"",$P41/$M41)</f>
        <v/>
      </c>
      <c r="T41" s="37"/>
      <c r="U41" s="37"/>
      <c r="V41" s="37"/>
      <c r="W41" s="37"/>
      <c r="X41" s="5"/>
      <c r="Y41" s="5"/>
      <c r="Z41" s="5"/>
      <c r="AA41" s="5"/>
      <c r="AB41" s="5"/>
      <c r="AC41" s="5"/>
      <c r="AD41" s="5"/>
    </row>
    <row r="42" customFormat="false" ht="15" hidden="false" customHeight="false" outlineLevel="0" collapsed="false">
      <c r="A42" s="5"/>
      <c r="B42" s="18"/>
      <c r="C42" s="5"/>
      <c r="D42" s="5"/>
      <c r="E42" s="5"/>
      <c r="F42" s="5"/>
      <c r="G42" s="5"/>
      <c r="H42" s="36"/>
      <c r="I42" s="36"/>
      <c r="J42" s="36"/>
      <c r="K42" s="36"/>
      <c r="L42" s="19"/>
      <c r="M42" s="19"/>
      <c r="N42" s="19"/>
      <c r="O42" s="19"/>
      <c r="P42" s="19"/>
      <c r="Q42" s="19"/>
      <c r="R42" s="34" t="str">
        <f aca="false">IF(OR($L42="",$L42=0),"",$M42/$L42)</f>
        <v/>
      </c>
      <c r="S42" s="34" t="str">
        <f aca="false">IF(OR($M42="",$M42=0),"",$P42/$M42)</f>
        <v/>
      </c>
      <c r="T42" s="37"/>
      <c r="U42" s="37"/>
      <c r="V42" s="37"/>
      <c r="W42" s="37"/>
      <c r="X42" s="5"/>
      <c r="Y42" s="5"/>
      <c r="Z42" s="5"/>
      <c r="AA42" s="5"/>
      <c r="AB42" s="5"/>
      <c r="AC42" s="5"/>
      <c r="AD42" s="5"/>
    </row>
    <row r="43" customFormat="false" ht="15" hidden="false" customHeight="false" outlineLevel="0" collapsed="false">
      <c r="A43" s="5"/>
      <c r="B43" s="18"/>
      <c r="C43" s="5"/>
      <c r="D43" s="5"/>
      <c r="E43" s="5"/>
      <c r="F43" s="5"/>
      <c r="G43" s="5"/>
      <c r="H43" s="36"/>
      <c r="I43" s="36"/>
      <c r="J43" s="36"/>
      <c r="K43" s="36"/>
      <c r="L43" s="19"/>
      <c r="M43" s="19"/>
      <c r="N43" s="19"/>
      <c r="O43" s="19"/>
      <c r="P43" s="19"/>
      <c r="Q43" s="19"/>
      <c r="R43" s="34" t="str">
        <f aca="false">IF(OR($L43="",$L43=0),"",$M43/$L43)</f>
        <v/>
      </c>
      <c r="S43" s="34" t="str">
        <f aca="false">IF(OR($M43="",$M43=0),"",$P43/$M43)</f>
        <v/>
      </c>
      <c r="T43" s="37"/>
      <c r="U43" s="37"/>
      <c r="V43" s="37"/>
      <c r="W43" s="37"/>
      <c r="X43" s="5"/>
      <c r="Y43" s="5"/>
      <c r="Z43" s="5"/>
      <c r="AA43" s="5"/>
      <c r="AB43" s="5"/>
      <c r="AC43" s="5"/>
      <c r="AD43" s="5"/>
    </row>
    <row r="44" customFormat="false" ht="15" hidden="false" customHeight="false" outlineLevel="0" collapsed="false">
      <c r="A44" s="5"/>
      <c r="B44" s="18"/>
      <c r="C44" s="5"/>
      <c r="D44" s="5"/>
      <c r="E44" s="5"/>
      <c r="F44" s="5"/>
      <c r="G44" s="5"/>
      <c r="H44" s="36"/>
      <c r="I44" s="36"/>
      <c r="J44" s="36"/>
      <c r="K44" s="36"/>
      <c r="L44" s="19"/>
      <c r="M44" s="19"/>
      <c r="N44" s="19"/>
      <c r="O44" s="19"/>
      <c r="P44" s="19"/>
      <c r="Q44" s="19"/>
      <c r="R44" s="34" t="str">
        <f aca="false">IF(OR($L44="",$L44=0),"",$M44/$L44)</f>
        <v/>
      </c>
      <c r="S44" s="34" t="str">
        <f aca="false">IF(OR($M44="",$M44=0),"",$P44/$M44)</f>
        <v/>
      </c>
      <c r="T44" s="37"/>
      <c r="U44" s="37"/>
      <c r="V44" s="37"/>
      <c r="W44" s="37"/>
      <c r="X44" s="5"/>
      <c r="Y44" s="5"/>
      <c r="Z44" s="5"/>
      <c r="AA44" s="5"/>
      <c r="AB44" s="5"/>
      <c r="AC44" s="5"/>
      <c r="AD44" s="5"/>
    </row>
    <row r="45" customFormat="false" ht="15" hidden="false" customHeight="false" outlineLevel="0" collapsed="false">
      <c r="A45" s="5"/>
      <c r="B45" s="18"/>
      <c r="C45" s="5"/>
      <c r="D45" s="5"/>
      <c r="E45" s="5"/>
      <c r="F45" s="5"/>
      <c r="G45" s="5"/>
      <c r="H45" s="36"/>
      <c r="I45" s="36"/>
      <c r="J45" s="36"/>
      <c r="K45" s="36"/>
      <c r="L45" s="19"/>
      <c r="M45" s="19"/>
      <c r="N45" s="19"/>
      <c r="O45" s="19"/>
      <c r="P45" s="19"/>
      <c r="Q45" s="19"/>
      <c r="R45" s="34" t="str">
        <f aca="false">IF(OR($L45="",$L45=0),"",$M45/$L45)</f>
        <v/>
      </c>
      <c r="S45" s="34" t="str">
        <f aca="false">IF(OR($M45="",$M45=0),"",$P45/$M45)</f>
        <v/>
      </c>
      <c r="T45" s="37"/>
      <c r="U45" s="37"/>
      <c r="V45" s="37"/>
      <c r="W45" s="37"/>
      <c r="X45" s="5"/>
      <c r="Y45" s="5"/>
      <c r="Z45" s="5"/>
      <c r="AA45" s="5"/>
      <c r="AB45" s="5"/>
      <c r="AC45" s="5"/>
      <c r="AD45" s="5"/>
    </row>
    <row r="46" customFormat="false" ht="15" hidden="false" customHeight="false" outlineLevel="0" collapsed="false">
      <c r="A46" s="5"/>
      <c r="B46" s="18"/>
      <c r="C46" s="5"/>
      <c r="D46" s="5"/>
      <c r="E46" s="5"/>
      <c r="F46" s="5"/>
      <c r="G46" s="5"/>
      <c r="H46" s="36"/>
      <c r="I46" s="36"/>
      <c r="J46" s="36"/>
      <c r="K46" s="36"/>
      <c r="L46" s="19"/>
      <c r="M46" s="19"/>
      <c r="N46" s="19"/>
      <c r="O46" s="19"/>
      <c r="P46" s="19"/>
      <c r="Q46" s="19"/>
      <c r="R46" s="34" t="str">
        <f aca="false">IF(OR($L46="",$L46=0),"",$M46/$L46)</f>
        <v/>
      </c>
      <c r="S46" s="34" t="str">
        <f aca="false">IF(OR($M46="",$M46=0),"",$P46/$M46)</f>
        <v/>
      </c>
      <c r="T46" s="37"/>
      <c r="U46" s="37"/>
      <c r="V46" s="37"/>
      <c r="W46" s="37"/>
      <c r="X46" s="5"/>
      <c r="Y46" s="5"/>
      <c r="Z46" s="5"/>
      <c r="AA46" s="5"/>
      <c r="AB46" s="5"/>
      <c r="AC46" s="5"/>
      <c r="AD46" s="5"/>
    </row>
    <row r="47" customFormat="false" ht="15" hidden="false" customHeight="false" outlineLevel="0" collapsed="false">
      <c r="A47" s="5"/>
      <c r="B47" s="18"/>
      <c r="C47" s="5"/>
      <c r="D47" s="5"/>
      <c r="E47" s="5"/>
      <c r="F47" s="5"/>
      <c r="G47" s="5"/>
      <c r="H47" s="36"/>
      <c r="I47" s="36"/>
      <c r="J47" s="36"/>
      <c r="K47" s="36"/>
      <c r="L47" s="19"/>
      <c r="M47" s="19"/>
      <c r="N47" s="19"/>
      <c r="O47" s="19"/>
      <c r="P47" s="19"/>
      <c r="Q47" s="19"/>
      <c r="R47" s="34" t="str">
        <f aca="false">IF(OR($L47="",$L47=0),"",$M47/$L47)</f>
        <v/>
      </c>
      <c r="S47" s="34" t="str">
        <f aca="false">IF(OR($M47="",$M47=0),"",$P47/$M47)</f>
        <v/>
      </c>
      <c r="T47" s="37"/>
      <c r="U47" s="37"/>
      <c r="V47" s="37"/>
      <c r="W47" s="37"/>
      <c r="X47" s="5"/>
      <c r="Y47" s="5"/>
      <c r="Z47" s="5"/>
      <c r="AA47" s="5"/>
      <c r="AB47" s="5"/>
      <c r="AC47" s="5"/>
      <c r="AD47" s="5"/>
    </row>
    <row r="48" customFormat="false" ht="15" hidden="false" customHeight="false" outlineLevel="0" collapsed="false">
      <c r="A48" s="5"/>
      <c r="B48" s="18"/>
      <c r="C48" s="5"/>
      <c r="D48" s="5"/>
      <c r="E48" s="5"/>
      <c r="F48" s="5"/>
      <c r="G48" s="5"/>
      <c r="H48" s="36"/>
      <c r="I48" s="36"/>
      <c r="J48" s="36"/>
      <c r="K48" s="36"/>
      <c r="L48" s="19"/>
      <c r="M48" s="19"/>
      <c r="N48" s="19"/>
      <c r="O48" s="19"/>
      <c r="P48" s="19"/>
      <c r="Q48" s="19"/>
      <c r="R48" s="34" t="str">
        <f aca="false">IF(OR($L48="",$L48=0),"",$M48/$L48)</f>
        <v/>
      </c>
      <c r="S48" s="34" t="str">
        <f aca="false">IF(OR($M48="",$M48=0),"",$P48/$M48)</f>
        <v/>
      </c>
      <c r="T48" s="37"/>
      <c r="U48" s="37"/>
      <c r="V48" s="37"/>
      <c r="W48" s="37"/>
      <c r="X48" s="5"/>
      <c r="Y48" s="5"/>
      <c r="Z48" s="5"/>
      <c r="AA48" s="5"/>
      <c r="AB48" s="5"/>
      <c r="AC48" s="5"/>
      <c r="AD48" s="5"/>
    </row>
    <row r="49" customFormat="false" ht="15" hidden="false" customHeight="false" outlineLevel="0" collapsed="false">
      <c r="A49" s="5"/>
      <c r="B49" s="18"/>
      <c r="C49" s="5"/>
      <c r="D49" s="5"/>
      <c r="E49" s="5"/>
      <c r="F49" s="5"/>
      <c r="G49" s="5"/>
      <c r="H49" s="36"/>
      <c r="I49" s="36"/>
      <c r="J49" s="36"/>
      <c r="K49" s="36"/>
      <c r="L49" s="19"/>
      <c r="M49" s="19"/>
      <c r="N49" s="19"/>
      <c r="O49" s="19"/>
      <c r="P49" s="19"/>
      <c r="Q49" s="19"/>
      <c r="R49" s="34" t="str">
        <f aca="false">IF(OR($L49="",$L49=0),"",$M49/$L49)</f>
        <v/>
      </c>
      <c r="S49" s="34" t="str">
        <f aca="false">IF(OR($M49="",$M49=0),"",$P49/$M49)</f>
        <v/>
      </c>
      <c r="T49" s="37"/>
      <c r="U49" s="37"/>
      <c r="V49" s="37"/>
      <c r="W49" s="37"/>
      <c r="X49" s="5"/>
      <c r="Y49" s="5"/>
      <c r="Z49" s="5"/>
      <c r="AA49" s="5"/>
      <c r="AB49" s="5"/>
      <c r="AC49" s="5"/>
      <c r="AD49" s="5"/>
    </row>
    <row r="50" customFormat="false" ht="15" hidden="false" customHeight="false" outlineLevel="0" collapsed="false">
      <c r="A50" s="5"/>
      <c r="B50" s="18"/>
      <c r="C50" s="5"/>
      <c r="D50" s="5"/>
      <c r="E50" s="5"/>
      <c r="F50" s="5"/>
      <c r="G50" s="5"/>
      <c r="H50" s="36"/>
      <c r="I50" s="36"/>
      <c r="J50" s="36"/>
      <c r="K50" s="36"/>
      <c r="L50" s="19"/>
      <c r="M50" s="19"/>
      <c r="N50" s="19"/>
      <c r="O50" s="19"/>
      <c r="P50" s="19"/>
      <c r="Q50" s="19"/>
      <c r="R50" s="34" t="str">
        <f aca="false">IF(OR($L50="",$L50=0),"",$M50/$L50)</f>
        <v/>
      </c>
      <c r="S50" s="34" t="str">
        <f aca="false">IF(OR($M50="",$M50=0),"",$P50/$M50)</f>
        <v/>
      </c>
      <c r="T50" s="37"/>
      <c r="U50" s="37"/>
      <c r="V50" s="37"/>
      <c r="W50" s="37"/>
      <c r="X50" s="5"/>
      <c r="Y50" s="5"/>
      <c r="Z50" s="5"/>
      <c r="AA50" s="5"/>
      <c r="AB50" s="5"/>
      <c r="AC50" s="5"/>
      <c r="AD50" s="5"/>
    </row>
    <row r="51" customFormat="false" ht="15" hidden="false" customHeight="false" outlineLevel="0" collapsed="false">
      <c r="A51" s="5"/>
      <c r="B51" s="18"/>
      <c r="C51" s="5"/>
      <c r="D51" s="5"/>
      <c r="E51" s="5"/>
      <c r="F51" s="5"/>
      <c r="G51" s="5"/>
      <c r="H51" s="36"/>
      <c r="I51" s="36"/>
      <c r="J51" s="36"/>
      <c r="K51" s="36"/>
      <c r="L51" s="19"/>
      <c r="M51" s="19"/>
      <c r="N51" s="19"/>
      <c r="O51" s="19"/>
      <c r="P51" s="19"/>
      <c r="Q51" s="19"/>
      <c r="R51" s="34" t="str">
        <f aca="false">IF(OR($L51="",$L51=0),"",$M51/$L51)</f>
        <v/>
      </c>
      <c r="S51" s="34" t="str">
        <f aca="false">IF(OR($M51="",$M51=0),"",$P51/$M51)</f>
        <v/>
      </c>
      <c r="T51" s="37"/>
      <c r="U51" s="37"/>
      <c r="V51" s="37"/>
      <c r="W51" s="37"/>
      <c r="X51" s="5"/>
      <c r="Y51" s="5"/>
      <c r="Z51" s="5"/>
      <c r="AA51" s="5"/>
      <c r="AB51" s="5"/>
      <c r="AC51" s="5"/>
      <c r="AD51" s="5"/>
    </row>
    <row r="52" customFormat="false" ht="15" hidden="false" customHeight="false" outlineLevel="0" collapsed="false">
      <c r="A52" s="5"/>
      <c r="B52" s="18"/>
      <c r="C52" s="5"/>
      <c r="D52" s="5"/>
      <c r="E52" s="5"/>
      <c r="F52" s="5"/>
      <c r="G52" s="5"/>
      <c r="H52" s="36"/>
      <c r="I52" s="36"/>
      <c r="J52" s="36"/>
      <c r="K52" s="36"/>
      <c r="L52" s="19"/>
      <c r="M52" s="19"/>
      <c r="N52" s="19"/>
      <c r="O52" s="19"/>
      <c r="P52" s="19"/>
      <c r="Q52" s="19"/>
      <c r="R52" s="34" t="str">
        <f aca="false">IF(OR($L52="",$L52=0),"",$M52/$L52)</f>
        <v/>
      </c>
      <c r="S52" s="34" t="str">
        <f aca="false">IF(OR($M52="",$M52=0),"",$P52/$M52)</f>
        <v/>
      </c>
      <c r="T52" s="37"/>
      <c r="U52" s="37"/>
      <c r="V52" s="37"/>
      <c r="W52" s="37"/>
      <c r="X52" s="5"/>
      <c r="Y52" s="5"/>
      <c r="Z52" s="5"/>
      <c r="AA52" s="5"/>
      <c r="AB52" s="5"/>
      <c r="AC52" s="5"/>
      <c r="AD52" s="5"/>
    </row>
    <row r="53" customFormat="false" ht="15" hidden="false" customHeight="false" outlineLevel="0" collapsed="false">
      <c r="A53" s="5"/>
      <c r="B53" s="18"/>
      <c r="C53" s="5"/>
      <c r="D53" s="5"/>
      <c r="E53" s="5"/>
      <c r="F53" s="5"/>
      <c r="G53" s="5"/>
      <c r="H53" s="36"/>
      <c r="I53" s="36"/>
      <c r="J53" s="36"/>
      <c r="K53" s="36"/>
      <c r="L53" s="19"/>
      <c r="M53" s="19"/>
      <c r="N53" s="19"/>
      <c r="O53" s="19"/>
      <c r="P53" s="19"/>
      <c r="Q53" s="19"/>
      <c r="R53" s="34" t="str">
        <f aca="false">IF(OR($L53="",$L53=0),"",$M53/$L53)</f>
        <v/>
      </c>
      <c r="S53" s="34" t="str">
        <f aca="false">IF(OR($M53="",$M53=0),"",$P53/$M53)</f>
        <v/>
      </c>
      <c r="T53" s="37"/>
      <c r="U53" s="37"/>
      <c r="V53" s="37"/>
      <c r="W53" s="37"/>
      <c r="X53" s="5"/>
      <c r="Y53" s="5"/>
      <c r="Z53" s="5"/>
      <c r="AA53" s="5"/>
      <c r="AB53" s="5"/>
      <c r="AC53" s="5"/>
      <c r="AD53" s="5"/>
    </row>
    <row r="54" customFormat="false" ht="15" hidden="false" customHeight="false" outlineLevel="0" collapsed="false">
      <c r="A54" s="5"/>
      <c r="B54" s="18"/>
      <c r="C54" s="5"/>
      <c r="D54" s="5"/>
      <c r="E54" s="5"/>
      <c r="F54" s="5"/>
      <c r="G54" s="5"/>
      <c r="H54" s="36"/>
      <c r="I54" s="36"/>
      <c r="J54" s="36"/>
      <c r="K54" s="36"/>
      <c r="L54" s="19"/>
      <c r="M54" s="19"/>
      <c r="N54" s="19"/>
      <c r="O54" s="19"/>
      <c r="P54" s="19"/>
      <c r="Q54" s="19"/>
      <c r="R54" s="34" t="str">
        <f aca="false">IF(OR($L54="",$L54=0),"",$M54/$L54)</f>
        <v/>
      </c>
      <c r="S54" s="34" t="str">
        <f aca="false">IF(OR($M54="",$M54=0),"",$P54/$M54)</f>
        <v/>
      </c>
      <c r="T54" s="37"/>
      <c r="U54" s="37"/>
      <c r="V54" s="37"/>
      <c r="W54" s="37"/>
      <c r="X54" s="5"/>
      <c r="Y54" s="5"/>
      <c r="Z54" s="5"/>
      <c r="AA54" s="5"/>
      <c r="AB54" s="5"/>
      <c r="AC54" s="5"/>
      <c r="AD54" s="5"/>
    </row>
    <row r="55" customFormat="false" ht="15" hidden="false" customHeight="false" outlineLevel="0" collapsed="false">
      <c r="A55" s="5"/>
      <c r="B55" s="18"/>
      <c r="C55" s="5"/>
      <c r="D55" s="5"/>
      <c r="E55" s="5"/>
      <c r="F55" s="5"/>
      <c r="G55" s="5"/>
      <c r="H55" s="36"/>
      <c r="I55" s="36"/>
      <c r="J55" s="36"/>
      <c r="K55" s="36"/>
      <c r="L55" s="19"/>
      <c r="M55" s="19"/>
      <c r="N55" s="19"/>
      <c r="O55" s="19"/>
      <c r="P55" s="19"/>
      <c r="Q55" s="19"/>
      <c r="R55" s="34" t="str">
        <f aca="false">IF(OR($L55="",$L55=0),"",$M55/$L55)</f>
        <v/>
      </c>
      <c r="S55" s="34" t="str">
        <f aca="false">IF(OR($M55="",$M55=0),"",$P55/$M55)</f>
        <v/>
      </c>
      <c r="T55" s="37"/>
      <c r="U55" s="37"/>
      <c r="V55" s="37"/>
      <c r="W55" s="37"/>
      <c r="X55" s="5"/>
      <c r="Y55" s="5"/>
      <c r="Z55" s="5"/>
      <c r="AA55" s="5"/>
      <c r="AB55" s="5"/>
      <c r="AC55" s="5"/>
      <c r="AD55" s="5"/>
    </row>
    <row r="56" customFormat="false" ht="15" hidden="false" customHeight="false" outlineLevel="0" collapsed="false">
      <c r="A56" s="5"/>
      <c r="B56" s="18"/>
      <c r="C56" s="5"/>
      <c r="D56" s="5"/>
      <c r="E56" s="5"/>
      <c r="F56" s="5"/>
      <c r="G56" s="5"/>
      <c r="H56" s="36"/>
      <c r="I56" s="36"/>
      <c r="J56" s="36"/>
      <c r="K56" s="36"/>
      <c r="L56" s="19"/>
      <c r="M56" s="19"/>
      <c r="N56" s="19"/>
      <c r="O56" s="19"/>
      <c r="P56" s="19"/>
      <c r="Q56" s="19"/>
      <c r="R56" s="34" t="str">
        <f aca="false">IF(OR($L56="",$L56=0),"",$M56/$L56)</f>
        <v/>
      </c>
      <c r="S56" s="34" t="str">
        <f aca="false">IF(OR($M56="",$M56=0),"",$P56/$M56)</f>
        <v/>
      </c>
      <c r="T56" s="37"/>
      <c r="U56" s="37"/>
      <c r="V56" s="37"/>
      <c r="W56" s="37"/>
      <c r="X56" s="5"/>
      <c r="Y56" s="5"/>
      <c r="Z56" s="5"/>
      <c r="AA56" s="5"/>
      <c r="AB56" s="5"/>
      <c r="AC56" s="5"/>
      <c r="AD56" s="5"/>
    </row>
    <row r="57" customFormat="false" ht="15" hidden="false" customHeight="false" outlineLevel="0" collapsed="false">
      <c r="A57" s="5"/>
      <c r="B57" s="18"/>
      <c r="C57" s="5"/>
      <c r="D57" s="5"/>
      <c r="E57" s="5"/>
      <c r="F57" s="5"/>
      <c r="G57" s="5"/>
      <c r="H57" s="36"/>
      <c r="I57" s="36"/>
      <c r="J57" s="36"/>
      <c r="K57" s="36"/>
      <c r="L57" s="19"/>
      <c r="M57" s="19"/>
      <c r="N57" s="19"/>
      <c r="O57" s="19"/>
      <c r="P57" s="19"/>
      <c r="Q57" s="19"/>
      <c r="R57" s="34" t="str">
        <f aca="false">IF(OR($L57="",$L57=0),"",$M57/$L57)</f>
        <v/>
      </c>
      <c r="S57" s="34" t="str">
        <f aca="false">IF(OR($M57="",$M57=0),"",$P57/$M57)</f>
        <v/>
      </c>
      <c r="T57" s="37"/>
      <c r="U57" s="37"/>
      <c r="V57" s="37"/>
      <c r="W57" s="37"/>
      <c r="X57" s="5"/>
      <c r="Y57" s="5"/>
      <c r="Z57" s="5"/>
      <c r="AA57" s="5"/>
      <c r="AB57" s="5"/>
      <c r="AC57" s="5"/>
      <c r="AD57" s="5"/>
    </row>
    <row r="58" customFormat="false" ht="15" hidden="false" customHeight="false" outlineLevel="0" collapsed="false">
      <c r="A58" s="5"/>
      <c r="B58" s="18"/>
      <c r="C58" s="5"/>
      <c r="D58" s="5"/>
      <c r="E58" s="5"/>
      <c r="F58" s="5"/>
      <c r="G58" s="5"/>
      <c r="H58" s="36"/>
      <c r="I58" s="36"/>
      <c r="J58" s="36"/>
      <c r="K58" s="36"/>
      <c r="L58" s="19"/>
      <c r="M58" s="19"/>
      <c r="N58" s="19"/>
      <c r="O58" s="19"/>
      <c r="P58" s="19"/>
      <c r="Q58" s="19"/>
      <c r="R58" s="34" t="str">
        <f aca="false">IF(OR($L58="",$L58=0),"",$M58/$L58)</f>
        <v/>
      </c>
      <c r="S58" s="34" t="str">
        <f aca="false">IF(OR($M58="",$M58=0),"",$P58/$M58)</f>
        <v/>
      </c>
      <c r="T58" s="37"/>
      <c r="U58" s="37"/>
      <c r="V58" s="37"/>
      <c r="W58" s="37"/>
      <c r="X58" s="5"/>
      <c r="Y58" s="5"/>
      <c r="Z58" s="5"/>
      <c r="AA58" s="5"/>
      <c r="AB58" s="5"/>
      <c r="AC58" s="5"/>
      <c r="AD58" s="5"/>
    </row>
    <row r="59" customFormat="false" ht="15" hidden="false" customHeight="false" outlineLevel="0" collapsed="false">
      <c r="A59" s="5"/>
      <c r="B59" s="18"/>
      <c r="C59" s="5"/>
      <c r="D59" s="5"/>
      <c r="E59" s="5"/>
      <c r="F59" s="5"/>
      <c r="G59" s="5"/>
      <c r="H59" s="36"/>
      <c r="I59" s="36"/>
      <c r="J59" s="36"/>
      <c r="K59" s="36"/>
      <c r="L59" s="19"/>
      <c r="M59" s="19"/>
      <c r="N59" s="19"/>
      <c r="O59" s="19"/>
      <c r="P59" s="19"/>
      <c r="Q59" s="19"/>
      <c r="R59" s="34" t="str">
        <f aca="false">IF(OR($L59="",$L59=0),"",$M59/$L59)</f>
        <v/>
      </c>
      <c r="S59" s="34" t="str">
        <f aca="false">IF(OR($M59="",$M59=0),"",$P59/$M59)</f>
        <v/>
      </c>
      <c r="T59" s="37"/>
      <c r="U59" s="37"/>
      <c r="V59" s="37"/>
      <c r="W59" s="37"/>
      <c r="X59" s="5"/>
      <c r="Y59" s="5"/>
      <c r="Z59" s="5"/>
      <c r="AA59" s="5"/>
      <c r="AB59" s="5"/>
      <c r="AC59" s="5"/>
      <c r="AD59" s="5"/>
    </row>
    <row r="60" customFormat="false" ht="15" hidden="false" customHeight="false" outlineLevel="0" collapsed="false">
      <c r="A60" s="5"/>
      <c r="B60" s="18"/>
      <c r="C60" s="5"/>
      <c r="D60" s="5"/>
      <c r="E60" s="5"/>
      <c r="F60" s="5"/>
      <c r="G60" s="5"/>
      <c r="H60" s="36"/>
      <c r="I60" s="36"/>
      <c r="J60" s="36"/>
      <c r="K60" s="36"/>
      <c r="L60" s="19"/>
      <c r="M60" s="19"/>
      <c r="N60" s="19"/>
      <c r="O60" s="19"/>
      <c r="P60" s="19"/>
      <c r="Q60" s="19"/>
      <c r="R60" s="34" t="str">
        <f aca="false">IF(OR($L60="",$L60=0),"",$M60/$L60)</f>
        <v/>
      </c>
      <c r="S60" s="34" t="str">
        <f aca="false">IF(OR($M60="",$M60=0),"",$P60/$M60)</f>
        <v/>
      </c>
      <c r="T60" s="37"/>
      <c r="U60" s="37"/>
      <c r="V60" s="37"/>
      <c r="W60" s="37"/>
      <c r="X60" s="5"/>
      <c r="Y60" s="5"/>
      <c r="Z60" s="5"/>
      <c r="AA60" s="5"/>
      <c r="AB60" s="5"/>
      <c r="AC60" s="5"/>
      <c r="AD60" s="5"/>
    </row>
    <row r="61" customFormat="false" ht="15" hidden="false" customHeight="false" outlineLevel="0" collapsed="false">
      <c r="A61" s="5"/>
      <c r="B61" s="18"/>
      <c r="C61" s="5"/>
      <c r="D61" s="5"/>
      <c r="E61" s="5"/>
      <c r="F61" s="5"/>
      <c r="G61" s="5"/>
      <c r="H61" s="36"/>
      <c r="I61" s="36"/>
      <c r="J61" s="36"/>
      <c r="K61" s="36"/>
      <c r="L61" s="19"/>
      <c r="M61" s="19"/>
      <c r="N61" s="19"/>
      <c r="O61" s="19"/>
      <c r="P61" s="19"/>
      <c r="Q61" s="19"/>
      <c r="R61" s="34" t="str">
        <f aca="false">IF(OR($L61="",$L61=0),"",$M61/$L61)</f>
        <v/>
      </c>
      <c r="S61" s="34" t="str">
        <f aca="false">IF(OR($M61="",$M61=0),"",$P61/$M61)</f>
        <v/>
      </c>
      <c r="T61" s="37"/>
      <c r="U61" s="37"/>
      <c r="V61" s="37"/>
      <c r="W61" s="37"/>
      <c r="X61" s="5"/>
      <c r="Y61" s="5"/>
      <c r="Z61" s="5"/>
      <c r="AA61" s="5"/>
      <c r="AB61" s="5"/>
      <c r="AC61" s="5"/>
      <c r="AD61" s="5"/>
    </row>
    <row r="62" customFormat="false" ht="15" hidden="false" customHeight="false" outlineLevel="0" collapsed="false">
      <c r="A62" s="5"/>
      <c r="B62" s="18"/>
      <c r="C62" s="5"/>
      <c r="D62" s="5"/>
      <c r="E62" s="5"/>
      <c r="F62" s="5"/>
      <c r="G62" s="5"/>
      <c r="H62" s="36"/>
      <c r="I62" s="36"/>
      <c r="J62" s="36"/>
      <c r="K62" s="36"/>
      <c r="L62" s="19"/>
      <c r="M62" s="19"/>
      <c r="N62" s="19"/>
      <c r="O62" s="19"/>
      <c r="P62" s="19"/>
      <c r="Q62" s="19"/>
      <c r="R62" s="34" t="str">
        <f aca="false">IF(OR($L62="",$L62=0),"",$M62/$L62)</f>
        <v/>
      </c>
      <c r="S62" s="34" t="str">
        <f aca="false">IF(OR($M62="",$M62=0),"",$P62/$M62)</f>
        <v/>
      </c>
      <c r="T62" s="37"/>
      <c r="U62" s="37"/>
      <c r="V62" s="37"/>
      <c r="W62" s="37"/>
      <c r="X62" s="5"/>
      <c r="Y62" s="5"/>
      <c r="Z62" s="5"/>
      <c r="AA62" s="5"/>
      <c r="AB62" s="5"/>
      <c r="AC62" s="5"/>
      <c r="AD62" s="5"/>
    </row>
    <row r="63" customFormat="false" ht="15" hidden="false" customHeight="false" outlineLevel="0" collapsed="false">
      <c r="A63" s="5"/>
      <c r="B63" s="18"/>
      <c r="C63" s="5"/>
      <c r="D63" s="5"/>
      <c r="E63" s="5"/>
      <c r="F63" s="5"/>
      <c r="G63" s="5"/>
      <c r="H63" s="36"/>
      <c r="I63" s="36"/>
      <c r="J63" s="36"/>
      <c r="K63" s="36"/>
      <c r="L63" s="19"/>
      <c r="M63" s="19"/>
      <c r="N63" s="19"/>
      <c r="O63" s="19"/>
      <c r="P63" s="19"/>
      <c r="Q63" s="19"/>
      <c r="R63" s="34" t="str">
        <f aca="false">IF(OR($L63="",$L63=0),"",$M63/$L63)</f>
        <v/>
      </c>
      <c r="S63" s="34" t="str">
        <f aca="false">IF(OR($M63="",$M63=0),"",$P63/$M63)</f>
        <v/>
      </c>
      <c r="T63" s="37"/>
      <c r="U63" s="37"/>
      <c r="V63" s="37"/>
      <c r="W63" s="37"/>
      <c r="X63" s="5"/>
      <c r="Y63" s="5"/>
      <c r="Z63" s="5"/>
      <c r="AA63" s="5"/>
      <c r="AB63" s="5"/>
      <c r="AC63" s="5"/>
      <c r="AD63" s="5"/>
    </row>
    <row r="64" customFormat="false" ht="15" hidden="false" customHeight="false" outlineLevel="0" collapsed="false">
      <c r="A64" s="5"/>
      <c r="B64" s="18"/>
      <c r="C64" s="5"/>
      <c r="D64" s="5"/>
      <c r="E64" s="5"/>
      <c r="F64" s="5"/>
      <c r="G64" s="5"/>
      <c r="H64" s="36"/>
      <c r="I64" s="36"/>
      <c r="J64" s="36"/>
      <c r="K64" s="36"/>
      <c r="L64" s="19"/>
      <c r="M64" s="19"/>
      <c r="N64" s="19"/>
      <c r="O64" s="19"/>
      <c r="P64" s="19"/>
      <c r="Q64" s="19"/>
      <c r="R64" s="34" t="str">
        <f aca="false">IF(OR($L64="",$L64=0),"",$M64/$L64)</f>
        <v/>
      </c>
      <c r="S64" s="34" t="str">
        <f aca="false">IF(OR($M64="",$M64=0),"",$P64/$M64)</f>
        <v/>
      </c>
      <c r="T64" s="37"/>
      <c r="U64" s="37"/>
      <c r="V64" s="37"/>
      <c r="W64" s="37"/>
      <c r="X64" s="5"/>
      <c r="Y64" s="5"/>
      <c r="Z64" s="5"/>
      <c r="AA64" s="5"/>
      <c r="AB64" s="5"/>
      <c r="AC64" s="5"/>
      <c r="AD64" s="5"/>
    </row>
    <row r="65" customFormat="false" ht="15" hidden="false" customHeight="false" outlineLevel="0" collapsed="false">
      <c r="A65" s="5"/>
      <c r="B65" s="18"/>
      <c r="C65" s="5"/>
      <c r="D65" s="5"/>
      <c r="E65" s="5"/>
      <c r="F65" s="5"/>
      <c r="G65" s="5"/>
      <c r="H65" s="36"/>
      <c r="I65" s="36"/>
      <c r="J65" s="36"/>
      <c r="K65" s="36"/>
      <c r="L65" s="19"/>
      <c r="M65" s="19"/>
      <c r="N65" s="19"/>
      <c r="O65" s="19"/>
      <c r="P65" s="19"/>
      <c r="Q65" s="19"/>
      <c r="R65" s="34" t="str">
        <f aca="false">IF(OR($L65="",$L65=0),"",$M65/$L65)</f>
        <v/>
      </c>
      <c r="S65" s="34" t="str">
        <f aca="false">IF(OR($M65="",$M65=0),"",$P65/$M65)</f>
        <v/>
      </c>
      <c r="T65" s="37"/>
      <c r="U65" s="37"/>
      <c r="V65" s="37"/>
      <c r="W65" s="37"/>
      <c r="X65" s="5"/>
      <c r="Y65" s="5"/>
      <c r="Z65" s="5"/>
      <c r="AA65" s="5"/>
      <c r="AB65" s="5"/>
      <c r="AC65" s="5"/>
      <c r="AD65" s="5"/>
    </row>
    <row r="66" customFormat="false" ht="15" hidden="false" customHeight="false" outlineLevel="0" collapsed="false">
      <c r="A66" s="5"/>
      <c r="B66" s="18"/>
      <c r="C66" s="5"/>
      <c r="D66" s="5"/>
      <c r="E66" s="5"/>
      <c r="F66" s="5"/>
      <c r="G66" s="5"/>
      <c r="H66" s="36"/>
      <c r="I66" s="36"/>
      <c r="J66" s="36"/>
      <c r="K66" s="36"/>
      <c r="L66" s="19"/>
      <c r="M66" s="19"/>
      <c r="N66" s="19"/>
      <c r="O66" s="19"/>
      <c r="P66" s="19"/>
      <c r="Q66" s="19"/>
      <c r="R66" s="34" t="str">
        <f aca="false">IF(OR($L66="",$L66=0),"",$M66/$L66)</f>
        <v/>
      </c>
      <c r="S66" s="34" t="str">
        <f aca="false">IF(OR($M66="",$M66=0),"",$P66/$M66)</f>
        <v/>
      </c>
      <c r="T66" s="37"/>
      <c r="U66" s="37"/>
      <c r="V66" s="37"/>
      <c r="W66" s="37"/>
      <c r="X66" s="5"/>
      <c r="Y66" s="5"/>
      <c r="Z66" s="5"/>
      <c r="AA66" s="5"/>
      <c r="AB66" s="5"/>
      <c r="AC66" s="5"/>
      <c r="AD66" s="5"/>
    </row>
    <row r="67" customFormat="false" ht="15" hidden="false" customHeight="false" outlineLevel="0" collapsed="false">
      <c r="A67" s="5"/>
      <c r="B67" s="18"/>
      <c r="C67" s="5"/>
      <c r="D67" s="5"/>
      <c r="E67" s="5"/>
      <c r="F67" s="5"/>
      <c r="G67" s="5"/>
      <c r="H67" s="36"/>
      <c r="I67" s="36"/>
      <c r="J67" s="36"/>
      <c r="K67" s="36"/>
      <c r="L67" s="19"/>
      <c r="M67" s="19"/>
      <c r="N67" s="19"/>
      <c r="O67" s="19"/>
      <c r="P67" s="19"/>
      <c r="Q67" s="19"/>
      <c r="R67" s="34" t="str">
        <f aca="false">IF(OR($L67="",$L67=0),"",$M67/$L67)</f>
        <v/>
      </c>
      <c r="S67" s="34" t="str">
        <f aca="false">IF(OR($M67="",$M67=0),"",$P67/$M67)</f>
        <v/>
      </c>
      <c r="T67" s="37"/>
      <c r="U67" s="37"/>
      <c r="V67" s="37"/>
      <c r="W67" s="37"/>
      <c r="X67" s="5"/>
      <c r="Y67" s="5"/>
      <c r="Z67" s="5"/>
      <c r="AA67" s="5"/>
      <c r="AB67" s="5"/>
      <c r="AC67" s="5"/>
      <c r="AD67" s="5"/>
    </row>
    <row r="68" customFormat="false" ht="15" hidden="false" customHeight="false" outlineLevel="0" collapsed="false">
      <c r="A68" s="5"/>
      <c r="B68" s="18"/>
      <c r="C68" s="5"/>
      <c r="D68" s="5"/>
      <c r="E68" s="5"/>
      <c r="F68" s="5"/>
      <c r="G68" s="5"/>
      <c r="H68" s="36"/>
      <c r="I68" s="36"/>
      <c r="J68" s="36"/>
      <c r="K68" s="36"/>
      <c r="L68" s="19"/>
      <c r="M68" s="19"/>
      <c r="N68" s="19"/>
      <c r="O68" s="19"/>
      <c r="P68" s="19"/>
      <c r="Q68" s="19"/>
      <c r="R68" s="34" t="str">
        <f aca="false">IF(OR($L68="",$L68=0),"",$M68/$L68)</f>
        <v/>
      </c>
      <c r="S68" s="34" t="str">
        <f aca="false">IF(OR($M68="",$M68=0),"",$P68/$M68)</f>
        <v/>
      </c>
      <c r="T68" s="37"/>
      <c r="U68" s="37"/>
      <c r="V68" s="37"/>
      <c r="W68" s="37"/>
      <c r="X68" s="5"/>
      <c r="Y68" s="5"/>
      <c r="Z68" s="5"/>
      <c r="AA68" s="5"/>
      <c r="AB68" s="5"/>
      <c r="AC68" s="5"/>
      <c r="AD68" s="5"/>
    </row>
    <row r="69" customFormat="false" ht="15" hidden="false" customHeight="false" outlineLevel="0" collapsed="false">
      <c r="A69" s="5"/>
      <c r="B69" s="18"/>
      <c r="C69" s="5"/>
      <c r="D69" s="5"/>
      <c r="E69" s="5"/>
      <c r="F69" s="5"/>
      <c r="G69" s="5"/>
      <c r="H69" s="36"/>
      <c r="I69" s="36"/>
      <c r="J69" s="36"/>
      <c r="K69" s="36"/>
      <c r="L69" s="19"/>
      <c r="M69" s="19"/>
      <c r="N69" s="19"/>
      <c r="O69" s="19"/>
      <c r="P69" s="19"/>
      <c r="Q69" s="19"/>
      <c r="R69" s="34" t="str">
        <f aca="false">IF(OR($L69="",$L69=0),"",$M69/$L69)</f>
        <v/>
      </c>
      <c r="S69" s="34" t="str">
        <f aca="false">IF(OR($M69="",$M69=0),"",$P69/$M69)</f>
        <v/>
      </c>
      <c r="T69" s="37"/>
      <c r="U69" s="37"/>
      <c r="V69" s="37"/>
      <c r="W69" s="37"/>
      <c r="X69" s="5"/>
      <c r="Y69" s="5"/>
      <c r="Z69" s="5"/>
      <c r="AA69" s="5"/>
      <c r="AB69" s="5"/>
      <c r="AC69" s="5"/>
      <c r="AD69" s="5"/>
    </row>
    <row r="70" customFormat="false" ht="15" hidden="false" customHeight="false" outlineLevel="0" collapsed="false">
      <c r="A70" s="5"/>
      <c r="B70" s="18"/>
      <c r="C70" s="5"/>
      <c r="D70" s="5"/>
      <c r="E70" s="5"/>
      <c r="F70" s="5"/>
      <c r="G70" s="5"/>
      <c r="H70" s="36"/>
      <c r="I70" s="36"/>
      <c r="J70" s="36"/>
      <c r="K70" s="36"/>
      <c r="L70" s="19"/>
      <c r="M70" s="19"/>
      <c r="N70" s="19"/>
      <c r="O70" s="19"/>
      <c r="P70" s="19"/>
      <c r="Q70" s="19"/>
      <c r="R70" s="34" t="str">
        <f aca="false">IF(OR($L70="",$L70=0),"",$M70/$L70)</f>
        <v/>
      </c>
      <c r="S70" s="34" t="str">
        <f aca="false">IF(OR($M70="",$M70=0),"",$P70/$M70)</f>
        <v/>
      </c>
      <c r="T70" s="37"/>
      <c r="U70" s="37"/>
      <c r="V70" s="37"/>
      <c r="W70" s="37"/>
      <c r="X70" s="5"/>
      <c r="Y70" s="5"/>
      <c r="Z70" s="5"/>
      <c r="AA70" s="5"/>
      <c r="AB70" s="5"/>
      <c r="AC70" s="5"/>
      <c r="AD70" s="5"/>
    </row>
    <row r="71" customFormat="false" ht="15" hidden="false" customHeight="false" outlineLevel="0" collapsed="false">
      <c r="A71" s="5"/>
      <c r="B71" s="18"/>
      <c r="C71" s="5"/>
      <c r="D71" s="5"/>
      <c r="E71" s="5"/>
      <c r="F71" s="5"/>
      <c r="G71" s="5"/>
      <c r="H71" s="36"/>
      <c r="I71" s="36"/>
      <c r="J71" s="36"/>
      <c r="K71" s="36"/>
      <c r="L71" s="19"/>
      <c r="M71" s="19"/>
      <c r="N71" s="19"/>
      <c r="O71" s="19"/>
      <c r="P71" s="19"/>
      <c r="Q71" s="19"/>
      <c r="R71" s="34" t="str">
        <f aca="false">IF(OR($L71="",$L71=0),"",$M71/$L71)</f>
        <v/>
      </c>
      <c r="S71" s="34" t="str">
        <f aca="false">IF(OR($M71="",$M71=0),"",$P71/$M71)</f>
        <v/>
      </c>
      <c r="T71" s="37"/>
      <c r="U71" s="37"/>
      <c r="V71" s="37"/>
      <c r="W71" s="37"/>
      <c r="X71" s="5"/>
      <c r="Y71" s="5"/>
      <c r="Z71" s="5"/>
      <c r="AA71" s="5"/>
      <c r="AB71" s="5"/>
      <c r="AC71" s="5"/>
      <c r="AD71" s="5"/>
    </row>
    <row r="72" customFormat="false" ht="15" hidden="false" customHeight="false" outlineLevel="0" collapsed="false">
      <c r="A72" s="5"/>
      <c r="B72" s="18"/>
      <c r="C72" s="5"/>
      <c r="D72" s="5"/>
      <c r="E72" s="5"/>
      <c r="F72" s="5"/>
      <c r="G72" s="5"/>
      <c r="H72" s="36"/>
      <c r="I72" s="36"/>
      <c r="J72" s="36"/>
      <c r="K72" s="36"/>
      <c r="L72" s="19"/>
      <c r="M72" s="19"/>
      <c r="N72" s="19"/>
      <c r="O72" s="19"/>
      <c r="P72" s="19"/>
      <c r="Q72" s="19"/>
      <c r="R72" s="34" t="str">
        <f aca="false">IF(OR($L72="",$L72=0),"",$M72/$L72)</f>
        <v/>
      </c>
      <c r="S72" s="34" t="str">
        <f aca="false">IF(OR($M72="",$M72=0),"",$P72/$M72)</f>
        <v/>
      </c>
      <c r="T72" s="37"/>
      <c r="U72" s="37"/>
      <c r="V72" s="37"/>
      <c r="W72" s="37"/>
      <c r="X72" s="5"/>
      <c r="Y72" s="5"/>
      <c r="Z72" s="5"/>
      <c r="AA72" s="5"/>
      <c r="AB72" s="5"/>
      <c r="AC72" s="5"/>
      <c r="AD72" s="5"/>
    </row>
    <row r="73" customFormat="false" ht="15" hidden="false" customHeight="false" outlineLevel="0" collapsed="false">
      <c r="A73" s="5"/>
      <c r="B73" s="18"/>
      <c r="C73" s="5"/>
      <c r="D73" s="5"/>
      <c r="E73" s="5"/>
      <c r="F73" s="5"/>
      <c r="G73" s="5"/>
      <c r="H73" s="36"/>
      <c r="I73" s="36"/>
      <c r="J73" s="36"/>
      <c r="K73" s="36"/>
      <c r="L73" s="19"/>
      <c r="M73" s="19"/>
      <c r="N73" s="19"/>
      <c r="O73" s="19"/>
      <c r="P73" s="19"/>
      <c r="Q73" s="19"/>
      <c r="R73" s="34" t="str">
        <f aca="false">IF(OR($L73="",$L73=0),"",$M73/$L73)</f>
        <v/>
      </c>
      <c r="S73" s="34" t="str">
        <f aca="false">IF(OR($M73="",$M73=0),"",$P73/$M73)</f>
        <v/>
      </c>
      <c r="T73" s="37"/>
      <c r="U73" s="37"/>
      <c r="V73" s="37"/>
      <c r="W73" s="37"/>
      <c r="X73" s="5"/>
      <c r="Y73" s="5"/>
      <c r="Z73" s="5"/>
      <c r="AA73" s="5"/>
      <c r="AB73" s="5"/>
      <c r="AC73" s="5"/>
      <c r="AD73" s="5"/>
    </row>
    <row r="74" customFormat="false" ht="15" hidden="false" customHeight="false" outlineLevel="0" collapsed="false">
      <c r="A74" s="5"/>
      <c r="B74" s="18"/>
      <c r="C74" s="5"/>
      <c r="D74" s="5"/>
      <c r="E74" s="5"/>
      <c r="F74" s="5"/>
      <c r="G74" s="5"/>
      <c r="H74" s="36"/>
      <c r="I74" s="36"/>
      <c r="J74" s="36"/>
      <c r="K74" s="36"/>
      <c r="L74" s="19"/>
      <c r="M74" s="19"/>
      <c r="N74" s="19"/>
      <c r="O74" s="19"/>
      <c r="P74" s="19"/>
      <c r="Q74" s="19"/>
      <c r="R74" s="34" t="str">
        <f aca="false">IF(OR($L74="",$L74=0),"",$M74/$L74)</f>
        <v/>
      </c>
      <c r="S74" s="34" t="str">
        <f aca="false">IF(OR($M74="",$M74=0),"",$P74/$M74)</f>
        <v/>
      </c>
      <c r="T74" s="37"/>
      <c r="U74" s="37"/>
      <c r="V74" s="37"/>
      <c r="W74" s="37"/>
      <c r="X74" s="5"/>
      <c r="Y74" s="5"/>
      <c r="Z74" s="5"/>
      <c r="AA74" s="5"/>
      <c r="AB74" s="5"/>
      <c r="AC74" s="5"/>
      <c r="AD74" s="5"/>
    </row>
    <row r="75" customFormat="false" ht="15" hidden="false" customHeight="false" outlineLevel="0" collapsed="false">
      <c r="A75" s="5"/>
      <c r="B75" s="18"/>
      <c r="C75" s="5"/>
      <c r="D75" s="5"/>
      <c r="E75" s="5"/>
      <c r="F75" s="5"/>
      <c r="G75" s="5"/>
      <c r="H75" s="36"/>
      <c r="I75" s="36"/>
      <c r="J75" s="36"/>
      <c r="K75" s="36"/>
      <c r="L75" s="19"/>
      <c r="M75" s="19"/>
      <c r="N75" s="19"/>
      <c r="O75" s="19"/>
      <c r="P75" s="19"/>
      <c r="Q75" s="19"/>
      <c r="R75" s="34" t="str">
        <f aca="false">IF(OR($L75="",$L75=0),"",$M75/$L75)</f>
        <v/>
      </c>
      <c r="S75" s="34" t="str">
        <f aca="false">IF(OR($M75="",$M75=0),"",$P75/$M75)</f>
        <v/>
      </c>
      <c r="T75" s="37"/>
      <c r="U75" s="37"/>
      <c r="V75" s="37"/>
      <c r="W75" s="37"/>
      <c r="X75" s="5"/>
      <c r="Y75" s="5"/>
      <c r="Z75" s="5"/>
      <c r="AA75" s="5"/>
      <c r="AB75" s="5"/>
      <c r="AC75" s="5"/>
      <c r="AD75" s="5"/>
    </row>
    <row r="76" customFormat="false" ht="15" hidden="false" customHeight="false" outlineLevel="0" collapsed="false">
      <c r="A76" s="5"/>
      <c r="B76" s="18"/>
      <c r="C76" s="5"/>
      <c r="D76" s="5"/>
      <c r="E76" s="5"/>
      <c r="F76" s="5"/>
      <c r="G76" s="5"/>
      <c r="H76" s="36"/>
      <c r="I76" s="36"/>
      <c r="J76" s="36"/>
      <c r="K76" s="36"/>
      <c r="L76" s="19"/>
      <c r="M76" s="19"/>
      <c r="N76" s="19"/>
      <c r="O76" s="19"/>
      <c r="P76" s="19"/>
      <c r="Q76" s="19"/>
      <c r="R76" s="34" t="str">
        <f aca="false">IF(OR($L76="",$L76=0),"",$M76/$L76)</f>
        <v/>
      </c>
      <c r="S76" s="34" t="str">
        <f aca="false">IF(OR($M76="",$M76=0),"",$P76/$M76)</f>
        <v/>
      </c>
      <c r="T76" s="37"/>
      <c r="U76" s="37"/>
      <c r="V76" s="37"/>
      <c r="W76" s="37"/>
      <c r="X76" s="5"/>
      <c r="Y76" s="5"/>
      <c r="Z76" s="5"/>
      <c r="AA76" s="5"/>
      <c r="AB76" s="5"/>
      <c r="AC76" s="5"/>
      <c r="AD76" s="5"/>
    </row>
    <row r="77" customFormat="false" ht="15" hidden="false" customHeight="false" outlineLevel="0" collapsed="false">
      <c r="A77" s="5"/>
      <c r="B77" s="18"/>
      <c r="C77" s="5"/>
      <c r="D77" s="5"/>
      <c r="E77" s="5"/>
      <c r="F77" s="5"/>
      <c r="G77" s="5"/>
      <c r="H77" s="36"/>
      <c r="I77" s="36"/>
      <c r="J77" s="36"/>
      <c r="K77" s="36"/>
      <c r="L77" s="19"/>
      <c r="M77" s="19"/>
      <c r="N77" s="19"/>
      <c r="O77" s="19"/>
      <c r="P77" s="19"/>
      <c r="Q77" s="19"/>
      <c r="R77" s="34" t="str">
        <f aca="false">IF(OR($L77="",$L77=0),"",$M77/$L77)</f>
        <v/>
      </c>
      <c r="S77" s="34" t="str">
        <f aca="false">IF(OR($M77="",$M77=0),"",$P77/$M77)</f>
        <v/>
      </c>
      <c r="T77" s="37"/>
      <c r="U77" s="37"/>
      <c r="V77" s="37"/>
      <c r="W77" s="37"/>
      <c r="X77" s="5"/>
      <c r="Y77" s="5"/>
      <c r="Z77" s="5"/>
      <c r="AA77" s="5"/>
      <c r="AB77" s="5"/>
      <c r="AC77" s="5"/>
      <c r="AD77" s="5"/>
    </row>
    <row r="78" customFormat="false" ht="15" hidden="false" customHeight="false" outlineLevel="0" collapsed="false">
      <c r="A78" s="5"/>
      <c r="B78" s="18"/>
      <c r="C78" s="5"/>
      <c r="D78" s="5"/>
      <c r="E78" s="5"/>
      <c r="F78" s="5"/>
      <c r="G78" s="5"/>
      <c r="H78" s="36"/>
      <c r="I78" s="36"/>
      <c r="J78" s="36"/>
      <c r="K78" s="36"/>
      <c r="L78" s="19"/>
      <c r="M78" s="19"/>
      <c r="N78" s="19"/>
      <c r="O78" s="19"/>
      <c r="P78" s="19"/>
      <c r="Q78" s="19"/>
      <c r="R78" s="34" t="str">
        <f aca="false">IF(OR($L78="",$L78=0),"",$M78/$L78)</f>
        <v/>
      </c>
      <c r="S78" s="34" t="str">
        <f aca="false">IF(OR($M78="",$M78=0),"",$P78/$M78)</f>
        <v/>
      </c>
      <c r="T78" s="37"/>
      <c r="U78" s="37"/>
      <c r="V78" s="37"/>
      <c r="W78" s="37"/>
      <c r="X78" s="5"/>
      <c r="Y78" s="5"/>
      <c r="Z78" s="5"/>
      <c r="AA78" s="5"/>
      <c r="AB78" s="5"/>
      <c r="AC78" s="5"/>
      <c r="AD78" s="5"/>
    </row>
    <row r="79" customFormat="false" ht="15" hidden="false" customHeight="false" outlineLevel="0" collapsed="false">
      <c r="A79" s="5"/>
      <c r="B79" s="18"/>
      <c r="C79" s="5"/>
      <c r="D79" s="5"/>
      <c r="E79" s="5"/>
      <c r="F79" s="5"/>
      <c r="G79" s="5"/>
      <c r="H79" s="36"/>
      <c r="I79" s="36"/>
      <c r="J79" s="36"/>
      <c r="K79" s="36"/>
      <c r="L79" s="19"/>
      <c r="M79" s="19"/>
      <c r="N79" s="19"/>
      <c r="O79" s="19"/>
      <c r="P79" s="19"/>
      <c r="Q79" s="19"/>
      <c r="R79" s="34" t="str">
        <f aca="false">IF(OR($L79="",$L79=0),"",$M79/$L79)</f>
        <v/>
      </c>
      <c r="S79" s="34" t="str">
        <f aca="false">IF(OR($M79="",$M79=0),"",$P79/$M79)</f>
        <v/>
      </c>
      <c r="T79" s="37"/>
      <c r="U79" s="37"/>
      <c r="V79" s="37"/>
      <c r="W79" s="37"/>
      <c r="X79" s="5"/>
      <c r="Y79" s="5"/>
      <c r="Z79" s="5"/>
      <c r="AA79" s="5"/>
      <c r="AB79" s="5"/>
      <c r="AC79" s="5"/>
      <c r="AD79" s="5"/>
    </row>
    <row r="80" customFormat="false" ht="15" hidden="false" customHeight="false" outlineLevel="0" collapsed="false">
      <c r="A80" s="5"/>
      <c r="B80" s="18"/>
      <c r="C80" s="5"/>
      <c r="D80" s="5"/>
      <c r="E80" s="5"/>
      <c r="F80" s="5"/>
      <c r="G80" s="5"/>
      <c r="H80" s="36"/>
      <c r="I80" s="36"/>
      <c r="J80" s="36"/>
      <c r="K80" s="36"/>
      <c r="L80" s="19"/>
      <c r="M80" s="19"/>
      <c r="N80" s="19"/>
      <c r="O80" s="19"/>
      <c r="P80" s="19"/>
      <c r="Q80" s="19"/>
      <c r="R80" s="34" t="str">
        <f aca="false">IF(OR($L80="",$L80=0),"",$M80/$L80)</f>
        <v/>
      </c>
      <c r="S80" s="34" t="str">
        <f aca="false">IF(OR($M80="",$M80=0),"",$P80/$M80)</f>
        <v/>
      </c>
      <c r="T80" s="37"/>
      <c r="U80" s="37"/>
      <c r="V80" s="37"/>
      <c r="W80" s="37"/>
      <c r="X80" s="5"/>
      <c r="Y80" s="5"/>
      <c r="Z80" s="5"/>
      <c r="AA80" s="5"/>
      <c r="AB80" s="5"/>
      <c r="AC80" s="5"/>
      <c r="AD80" s="5"/>
    </row>
    <row r="81" customFormat="false" ht="15" hidden="false" customHeight="false" outlineLevel="0" collapsed="false">
      <c r="A81" s="5"/>
      <c r="B81" s="18"/>
      <c r="C81" s="5"/>
      <c r="D81" s="5"/>
      <c r="E81" s="5"/>
      <c r="F81" s="5"/>
      <c r="G81" s="5"/>
      <c r="H81" s="36"/>
      <c r="I81" s="36"/>
      <c r="J81" s="36"/>
      <c r="K81" s="36"/>
      <c r="L81" s="19"/>
      <c r="M81" s="19"/>
      <c r="N81" s="19"/>
      <c r="O81" s="19"/>
      <c r="P81" s="19"/>
      <c r="Q81" s="19"/>
      <c r="R81" s="34" t="str">
        <f aca="false">IF(OR($L81="",$L81=0),"",$M81/$L81)</f>
        <v/>
      </c>
      <c r="S81" s="34" t="str">
        <f aca="false">IF(OR($M81="",$M81=0),"",$P81/$M81)</f>
        <v/>
      </c>
      <c r="T81" s="37"/>
      <c r="U81" s="37"/>
      <c r="V81" s="37"/>
      <c r="W81" s="37"/>
      <c r="X81" s="5"/>
      <c r="Y81" s="5"/>
      <c r="Z81" s="5"/>
      <c r="AA81" s="5"/>
      <c r="AB81" s="5"/>
      <c r="AC81" s="5"/>
      <c r="AD81" s="5"/>
    </row>
    <row r="82" customFormat="false" ht="15" hidden="false" customHeight="false" outlineLevel="0" collapsed="false">
      <c r="A82" s="5"/>
      <c r="B82" s="18"/>
      <c r="C82" s="5"/>
      <c r="D82" s="5"/>
      <c r="E82" s="5"/>
      <c r="F82" s="5"/>
      <c r="G82" s="5"/>
      <c r="H82" s="36"/>
      <c r="I82" s="36"/>
      <c r="J82" s="36"/>
      <c r="K82" s="36"/>
      <c r="L82" s="19"/>
      <c r="M82" s="19"/>
      <c r="N82" s="19"/>
      <c r="O82" s="19"/>
      <c r="P82" s="19"/>
      <c r="Q82" s="19"/>
      <c r="R82" s="34" t="str">
        <f aca="false">IF(OR($L82="",$L82=0),"",$M82/$L82)</f>
        <v/>
      </c>
      <c r="S82" s="34" t="str">
        <f aca="false">IF(OR($M82="",$M82=0),"",$P82/$M82)</f>
        <v/>
      </c>
      <c r="T82" s="37"/>
      <c r="U82" s="37"/>
      <c r="V82" s="37"/>
      <c r="W82" s="37"/>
      <c r="X82" s="5"/>
      <c r="Y82" s="5"/>
      <c r="Z82" s="5"/>
      <c r="AA82" s="5"/>
      <c r="AB82" s="5"/>
      <c r="AC82" s="5"/>
      <c r="AD82" s="5"/>
    </row>
    <row r="83" customFormat="false" ht="15" hidden="false" customHeight="false" outlineLevel="0" collapsed="false">
      <c r="A83" s="5"/>
      <c r="B83" s="18"/>
      <c r="C83" s="5"/>
      <c r="D83" s="5"/>
      <c r="E83" s="5"/>
      <c r="F83" s="5"/>
      <c r="G83" s="5"/>
      <c r="H83" s="36"/>
      <c r="I83" s="36"/>
      <c r="J83" s="36"/>
      <c r="K83" s="36"/>
      <c r="L83" s="19"/>
      <c r="M83" s="19"/>
      <c r="N83" s="19"/>
      <c r="O83" s="19"/>
      <c r="P83" s="19"/>
      <c r="Q83" s="19"/>
      <c r="R83" s="34" t="str">
        <f aca="false">IF(OR($L83="",$L83=0),"",$M83/$L83)</f>
        <v/>
      </c>
      <c r="S83" s="34" t="str">
        <f aca="false">IF(OR($M83="",$M83=0),"",$P83/$M83)</f>
        <v/>
      </c>
      <c r="T83" s="37"/>
      <c r="U83" s="37"/>
      <c r="V83" s="37"/>
      <c r="W83" s="37"/>
      <c r="X83" s="5"/>
      <c r="Y83" s="5"/>
      <c r="Z83" s="5"/>
      <c r="AA83" s="5"/>
      <c r="AB83" s="5"/>
      <c r="AC83" s="5"/>
      <c r="AD83" s="5"/>
    </row>
  </sheetData>
  <autoFilter ref="A2:AD83"/>
  <mergeCells count="6">
    <mergeCell ref="A1:F1"/>
    <mergeCell ref="G1:H1"/>
    <mergeCell ref="I1:K1"/>
    <mergeCell ref="L1:S1"/>
    <mergeCell ref="T1:W1"/>
    <mergeCell ref="X1:AC1"/>
  </mergeCells>
  <dataValidations count="2">
    <dataValidation allowBlank="true" error="Pick a value from the Condition list on the Lookups sheet." errorStyle="stop" errorTitle="Not in list" operator="between" showDropDown="false" showErrorMessage="false" showInputMessage="false" sqref="D4:D83" type="list">
      <formula1>Lookups!$C$4:$C$9</formula1>
      <formula2>0</formula2>
    </dataValidation>
    <dataValidation allowBlank="true" error="Pick a value from the Transition list on the Lookups sheet." errorStyle="stop" errorTitle="Not in list" operator="between" showDropDown="false" showErrorMessage="false" showInputMessage="false" sqref="E4:E83" type="list">
      <formula1>Lookups!$E$4:$E$7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B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22"/>
    <col collapsed="false" customWidth="true" hidden="false" outlineLevel="0" max="19" min="17" style="0" width="12"/>
    <col collapsed="false" customWidth="true" hidden="false" outlineLevel="0" max="21" min="20" style="0" width="13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6" min="24" style="0" width="13"/>
    <col collapsed="false" customWidth="true" hidden="false" outlineLevel="0" max="27" min="27" style="0" width="12"/>
    <col collapsed="false" customWidth="true" hidden="false" outlineLevel="0" max="28" min="28" style="0" width="34"/>
  </cols>
  <sheetData>
    <row r="1" customFormat="false" ht="18" hidden="false" customHeight="true" outlineLevel="0" collapsed="false">
      <c r="A1" s="12" t="s">
        <v>283</v>
      </c>
      <c r="B1" s="12"/>
      <c r="C1" s="12"/>
      <c r="D1" s="12"/>
      <c r="E1" s="12" t="s">
        <v>284</v>
      </c>
      <c r="F1" s="12"/>
      <c r="G1" s="12"/>
      <c r="H1" s="12"/>
      <c r="I1" s="12"/>
      <c r="J1" s="12"/>
      <c r="K1" s="12"/>
      <c r="L1" s="12" t="s">
        <v>285</v>
      </c>
      <c r="M1" s="12"/>
      <c r="N1" s="12"/>
      <c r="O1" s="12"/>
      <c r="P1" s="12"/>
      <c r="Q1" s="12" t="s">
        <v>286</v>
      </c>
      <c r="R1" s="12"/>
      <c r="S1" s="12"/>
      <c r="T1" s="12" t="s">
        <v>287</v>
      </c>
      <c r="U1" s="12"/>
      <c r="V1" s="12"/>
      <c r="W1" s="12" t="s">
        <v>288</v>
      </c>
      <c r="X1" s="12"/>
      <c r="Y1" s="12"/>
      <c r="Z1" s="12"/>
      <c r="AA1" s="12" t="s">
        <v>173</v>
      </c>
      <c r="AB1" s="12"/>
    </row>
    <row r="2" customFormat="false" ht="42" hidden="false" customHeight="true" outlineLevel="0" collapsed="false">
      <c r="A2" s="13" t="s">
        <v>289</v>
      </c>
      <c r="B2" s="13" t="s">
        <v>34</v>
      </c>
      <c r="C2" s="13" t="s">
        <v>38</v>
      </c>
      <c r="D2" s="13" t="s">
        <v>176</v>
      </c>
      <c r="E2" s="13" t="s">
        <v>290</v>
      </c>
      <c r="F2" s="13" t="s">
        <v>291</v>
      </c>
      <c r="G2" s="13" t="s">
        <v>292</v>
      </c>
      <c r="H2" s="13" t="s">
        <v>293</v>
      </c>
      <c r="I2" s="13" t="s">
        <v>180</v>
      </c>
      <c r="J2" s="13" t="s">
        <v>294</v>
      </c>
      <c r="K2" s="13" t="s">
        <v>295</v>
      </c>
      <c r="L2" s="13" t="s">
        <v>296</v>
      </c>
      <c r="M2" s="13" t="s">
        <v>297</v>
      </c>
      <c r="N2" s="13" t="s">
        <v>298</v>
      </c>
      <c r="O2" s="13" t="s">
        <v>299</v>
      </c>
      <c r="P2" s="13" t="s">
        <v>300</v>
      </c>
      <c r="Q2" s="13" t="s">
        <v>301</v>
      </c>
      <c r="R2" s="13" t="s">
        <v>302</v>
      </c>
      <c r="S2" s="13" t="s">
        <v>303</v>
      </c>
      <c r="T2" s="13" t="s">
        <v>304</v>
      </c>
      <c r="U2" s="13" t="s">
        <v>305</v>
      </c>
      <c r="V2" s="13" t="s">
        <v>179</v>
      </c>
      <c r="W2" s="13" t="s">
        <v>306</v>
      </c>
      <c r="X2" s="13" t="s">
        <v>307</v>
      </c>
      <c r="Y2" s="13" t="s">
        <v>308</v>
      </c>
      <c r="Z2" s="13" t="s">
        <v>309</v>
      </c>
      <c r="AA2" s="13" t="s">
        <v>310</v>
      </c>
      <c r="AB2" s="13" t="s">
        <v>156</v>
      </c>
    </row>
    <row r="3" customFormat="false" ht="15" hidden="false" customHeight="false" outlineLevel="0" collapsed="false">
      <c r="A3" s="8" t="s">
        <v>311</v>
      </c>
      <c r="B3" s="8" t="s">
        <v>312</v>
      </c>
      <c r="C3" s="8" t="s">
        <v>313</v>
      </c>
      <c r="D3" s="8" t="s">
        <v>314</v>
      </c>
      <c r="E3" s="8" t="s">
        <v>315</v>
      </c>
      <c r="F3" s="14" t="s">
        <v>316</v>
      </c>
      <c r="G3" s="8" t="s">
        <v>317</v>
      </c>
      <c r="H3" s="8" t="s">
        <v>318</v>
      </c>
      <c r="I3" s="8" t="s">
        <v>75</v>
      </c>
      <c r="J3" s="23" t="n">
        <v>100</v>
      </c>
      <c r="K3" s="23" t="n">
        <v>280</v>
      </c>
      <c r="L3" s="8" t="s">
        <v>73</v>
      </c>
      <c r="M3" s="8" t="s">
        <v>84</v>
      </c>
      <c r="N3" s="8" t="s">
        <v>84</v>
      </c>
      <c r="O3" s="23" t="n">
        <v>0.85</v>
      </c>
      <c r="P3" s="8" t="s">
        <v>319</v>
      </c>
      <c r="Q3" s="23" t="n">
        <v>1</v>
      </c>
      <c r="R3" s="23" t="n">
        <v>48</v>
      </c>
      <c r="S3" s="26" t="n">
        <f aca="false">IF(OR($Q3="",$R3="",$R3=0),"",$Q3/$R3)</f>
        <v>0.0208333333333333</v>
      </c>
      <c r="T3" s="23" t="n">
        <v>100.2</v>
      </c>
      <c r="U3" s="23" t="n">
        <v>279.35</v>
      </c>
      <c r="V3" s="8" t="s">
        <v>66</v>
      </c>
      <c r="W3" s="23" t="n">
        <f aca="false">IF(OR($T3="",$J3=""),"",$T3-$J3)</f>
        <v>0.200000000000003</v>
      </c>
      <c r="X3" s="23" t="n">
        <f aca="false">IF(OR($T3="",$J3="",$O3=""),"",$T3-$J3-$O3)</f>
        <v>-0.649999999999997</v>
      </c>
      <c r="Y3" s="26" t="n">
        <f aca="false">IF(OR($T3="",$J3="",$O3="",$J3=0),"",($T3-$J3-$O3)/$J3)</f>
        <v>-0.00649999999999997</v>
      </c>
      <c r="Z3" s="8" t="str">
        <f aca="false">IF($X3="","",IF(ABS($X3)&gt;=Thresholds!$B$4,"MATERIAL","within"))</f>
        <v>MATERIAL</v>
      </c>
      <c r="AA3" s="23" t="n">
        <v>99.98</v>
      </c>
      <c r="AB3" s="8" t="s">
        <v>244</v>
      </c>
    </row>
    <row r="4" customFormat="false" ht="15" hidden="false" customHeight="false" outlineLevel="0" collapsed="false">
      <c r="A4" s="5"/>
      <c r="B4" s="5"/>
      <c r="C4" s="5"/>
      <c r="D4" s="5"/>
      <c r="E4" s="5"/>
      <c r="F4" s="18"/>
      <c r="G4" s="5"/>
      <c r="H4" s="5"/>
      <c r="I4" s="5"/>
      <c r="J4" s="28"/>
      <c r="K4" s="28"/>
      <c r="L4" s="5"/>
      <c r="M4" s="5"/>
      <c r="N4" s="5"/>
      <c r="O4" s="28"/>
      <c r="P4" s="5"/>
      <c r="Q4" s="28"/>
      <c r="R4" s="28"/>
      <c r="S4" s="32" t="str">
        <f aca="false">IF(OR($Q4="",$R4="",$R4=0),"",$Q4/$R4)</f>
        <v/>
      </c>
      <c r="T4" s="28"/>
      <c r="U4" s="28"/>
      <c r="V4" s="5"/>
      <c r="W4" s="38" t="str">
        <f aca="false">IF(OR($T4="",$J4=""),"",$T4-$J4)</f>
        <v/>
      </c>
      <c r="X4" s="38" t="str">
        <f aca="false">IF(OR($T4="",$J4="",$O4=""),"",$T4-$J4-$O4)</f>
        <v/>
      </c>
      <c r="Y4" s="32" t="str">
        <f aca="false">IF(OR($T4="",$J4="",$O4="",$J4=0),"",($T4-$J4-$O4)/$J4)</f>
        <v/>
      </c>
      <c r="Z4" s="7" t="str">
        <f aca="false">IF($X4="","",IF(ABS($X4)&gt;=Thresholds!$B$4,"MATERIAL","within"))</f>
        <v/>
      </c>
      <c r="AA4" s="28"/>
      <c r="AB4" s="5"/>
    </row>
    <row r="5" customFormat="false" ht="15" hidden="false" customHeight="false" outlineLevel="0" collapsed="false">
      <c r="A5" s="5"/>
      <c r="B5" s="5"/>
      <c r="C5" s="5"/>
      <c r="D5" s="5"/>
      <c r="E5" s="5"/>
      <c r="F5" s="18"/>
      <c r="G5" s="5"/>
      <c r="H5" s="5"/>
      <c r="I5" s="5"/>
      <c r="J5" s="28"/>
      <c r="K5" s="28"/>
      <c r="L5" s="5"/>
      <c r="M5" s="5"/>
      <c r="N5" s="5"/>
      <c r="O5" s="28"/>
      <c r="P5" s="5"/>
      <c r="Q5" s="28"/>
      <c r="R5" s="28"/>
      <c r="S5" s="32" t="str">
        <f aca="false">IF(OR($Q5="",$R5="",$R5=0),"",$Q5/$R5)</f>
        <v/>
      </c>
      <c r="T5" s="28"/>
      <c r="U5" s="28"/>
      <c r="V5" s="5"/>
      <c r="W5" s="38" t="str">
        <f aca="false">IF(OR($T5="",$J5=""),"",$T5-$J5)</f>
        <v/>
      </c>
      <c r="X5" s="38" t="str">
        <f aca="false">IF(OR($T5="",$J5="",$O5=""),"",$T5-$J5-$O5)</f>
        <v/>
      </c>
      <c r="Y5" s="32" t="str">
        <f aca="false">IF(OR($T5="",$J5="",$O5="",$J5=0),"",($T5-$J5-$O5)/$J5)</f>
        <v/>
      </c>
      <c r="Z5" s="7" t="str">
        <f aca="false">IF($X5="","",IF(ABS($X5)&gt;=Thresholds!$B$4,"MATERIAL","within"))</f>
        <v/>
      </c>
      <c r="AA5" s="28"/>
      <c r="AB5" s="5"/>
    </row>
    <row r="6" customFormat="false" ht="15" hidden="false" customHeight="false" outlineLevel="0" collapsed="false">
      <c r="A6" s="5"/>
      <c r="B6" s="5"/>
      <c r="C6" s="5"/>
      <c r="D6" s="5"/>
      <c r="E6" s="5"/>
      <c r="F6" s="18"/>
      <c r="G6" s="5"/>
      <c r="H6" s="5"/>
      <c r="I6" s="5"/>
      <c r="J6" s="28"/>
      <c r="K6" s="28"/>
      <c r="L6" s="5"/>
      <c r="M6" s="5"/>
      <c r="N6" s="5"/>
      <c r="O6" s="28"/>
      <c r="P6" s="5"/>
      <c r="Q6" s="28"/>
      <c r="R6" s="28"/>
      <c r="S6" s="32" t="str">
        <f aca="false">IF(OR($Q6="",$R6="",$R6=0),"",$Q6/$R6)</f>
        <v/>
      </c>
      <c r="T6" s="28"/>
      <c r="U6" s="28"/>
      <c r="V6" s="5"/>
      <c r="W6" s="38" t="str">
        <f aca="false">IF(OR($T6="",$J6=""),"",$T6-$J6)</f>
        <v/>
      </c>
      <c r="X6" s="38" t="str">
        <f aca="false">IF(OR($T6="",$J6="",$O6=""),"",$T6-$J6-$O6)</f>
        <v/>
      </c>
      <c r="Y6" s="32" t="str">
        <f aca="false">IF(OR($T6="",$J6="",$O6="",$J6=0),"",($T6-$J6-$O6)/$J6)</f>
        <v/>
      </c>
      <c r="Z6" s="7" t="str">
        <f aca="false">IF($X6="","",IF(ABS($X6)&gt;=Thresholds!$B$4,"MATERIAL","within"))</f>
        <v/>
      </c>
      <c r="AA6" s="28"/>
      <c r="AB6" s="5"/>
    </row>
    <row r="7" customFormat="false" ht="15" hidden="false" customHeight="false" outlineLevel="0" collapsed="false">
      <c r="A7" s="5"/>
      <c r="B7" s="5"/>
      <c r="C7" s="5"/>
      <c r="D7" s="5"/>
      <c r="E7" s="5"/>
      <c r="F7" s="18"/>
      <c r="G7" s="5"/>
      <c r="H7" s="5"/>
      <c r="I7" s="5"/>
      <c r="J7" s="28"/>
      <c r="K7" s="28"/>
      <c r="L7" s="5"/>
      <c r="M7" s="5"/>
      <c r="N7" s="5"/>
      <c r="O7" s="28"/>
      <c r="P7" s="5"/>
      <c r="Q7" s="28"/>
      <c r="R7" s="28"/>
      <c r="S7" s="32" t="str">
        <f aca="false">IF(OR($Q7="",$R7="",$R7=0),"",$Q7/$R7)</f>
        <v/>
      </c>
      <c r="T7" s="28"/>
      <c r="U7" s="28"/>
      <c r="V7" s="5"/>
      <c r="W7" s="38" t="str">
        <f aca="false">IF(OR($T7="",$J7=""),"",$T7-$J7)</f>
        <v/>
      </c>
      <c r="X7" s="38" t="str">
        <f aca="false">IF(OR($T7="",$J7="",$O7=""),"",$T7-$J7-$O7)</f>
        <v/>
      </c>
      <c r="Y7" s="32" t="str">
        <f aca="false">IF(OR($T7="",$J7="",$O7="",$J7=0),"",($T7-$J7-$O7)/$J7)</f>
        <v/>
      </c>
      <c r="Z7" s="7" t="str">
        <f aca="false">IF($X7="","",IF(ABS($X7)&gt;=Thresholds!$B$4,"MATERIAL","within"))</f>
        <v/>
      </c>
      <c r="AA7" s="28"/>
      <c r="AB7" s="5"/>
    </row>
    <row r="8" customFormat="false" ht="15" hidden="false" customHeight="false" outlineLevel="0" collapsed="false">
      <c r="A8" s="5"/>
      <c r="B8" s="5"/>
      <c r="C8" s="5"/>
      <c r="D8" s="5"/>
      <c r="E8" s="5"/>
      <c r="F8" s="18"/>
      <c r="G8" s="5"/>
      <c r="H8" s="5"/>
      <c r="I8" s="5"/>
      <c r="J8" s="28"/>
      <c r="K8" s="28"/>
      <c r="L8" s="5"/>
      <c r="M8" s="5"/>
      <c r="N8" s="5"/>
      <c r="O8" s="28"/>
      <c r="P8" s="5"/>
      <c r="Q8" s="28"/>
      <c r="R8" s="28"/>
      <c r="S8" s="32" t="str">
        <f aca="false">IF(OR($Q8="",$R8="",$R8=0),"",$Q8/$R8)</f>
        <v/>
      </c>
      <c r="T8" s="28"/>
      <c r="U8" s="28"/>
      <c r="V8" s="5"/>
      <c r="W8" s="38" t="str">
        <f aca="false">IF(OR($T8="",$J8=""),"",$T8-$J8)</f>
        <v/>
      </c>
      <c r="X8" s="38" t="str">
        <f aca="false">IF(OR($T8="",$J8="",$O8=""),"",$T8-$J8-$O8)</f>
        <v/>
      </c>
      <c r="Y8" s="32" t="str">
        <f aca="false">IF(OR($T8="",$J8="",$O8="",$J8=0),"",($T8-$J8-$O8)/$J8)</f>
        <v/>
      </c>
      <c r="Z8" s="7" t="str">
        <f aca="false">IF($X8="","",IF(ABS($X8)&gt;=Thresholds!$B$4,"MATERIAL","within"))</f>
        <v/>
      </c>
      <c r="AA8" s="28"/>
      <c r="AB8" s="5"/>
    </row>
    <row r="9" customFormat="false" ht="15" hidden="false" customHeight="false" outlineLevel="0" collapsed="false">
      <c r="A9" s="5"/>
      <c r="B9" s="5"/>
      <c r="C9" s="5"/>
      <c r="D9" s="5"/>
      <c r="E9" s="5"/>
      <c r="F9" s="18"/>
      <c r="G9" s="5"/>
      <c r="H9" s="5"/>
      <c r="I9" s="5"/>
      <c r="J9" s="28"/>
      <c r="K9" s="28"/>
      <c r="L9" s="5"/>
      <c r="M9" s="5"/>
      <c r="N9" s="5"/>
      <c r="O9" s="28"/>
      <c r="P9" s="5"/>
      <c r="Q9" s="28"/>
      <c r="R9" s="28"/>
      <c r="S9" s="32" t="str">
        <f aca="false">IF(OR($Q9="",$R9="",$R9=0),"",$Q9/$R9)</f>
        <v/>
      </c>
      <c r="T9" s="28"/>
      <c r="U9" s="28"/>
      <c r="V9" s="5"/>
      <c r="W9" s="38" t="str">
        <f aca="false">IF(OR($T9="",$J9=""),"",$T9-$J9)</f>
        <v/>
      </c>
      <c r="X9" s="38" t="str">
        <f aca="false">IF(OR($T9="",$J9="",$O9=""),"",$T9-$J9-$O9)</f>
        <v/>
      </c>
      <c r="Y9" s="32" t="str">
        <f aca="false">IF(OR($T9="",$J9="",$O9="",$J9=0),"",($T9-$J9-$O9)/$J9)</f>
        <v/>
      </c>
      <c r="Z9" s="7" t="str">
        <f aca="false">IF($X9="","",IF(ABS($X9)&gt;=Thresholds!$B$4,"MATERIAL","within"))</f>
        <v/>
      </c>
      <c r="AA9" s="28"/>
      <c r="AB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18"/>
      <c r="G10" s="5"/>
      <c r="H10" s="5"/>
      <c r="I10" s="5"/>
      <c r="J10" s="28"/>
      <c r="K10" s="28"/>
      <c r="L10" s="5"/>
      <c r="M10" s="5"/>
      <c r="N10" s="5"/>
      <c r="O10" s="28"/>
      <c r="P10" s="5"/>
      <c r="Q10" s="28"/>
      <c r="R10" s="28"/>
      <c r="S10" s="32" t="str">
        <f aca="false">IF(OR($Q10="",$R10="",$R10=0),"",$Q10/$R10)</f>
        <v/>
      </c>
      <c r="T10" s="28"/>
      <c r="U10" s="28"/>
      <c r="V10" s="5"/>
      <c r="W10" s="38" t="str">
        <f aca="false">IF(OR($T10="",$J10=""),"",$T10-$J10)</f>
        <v/>
      </c>
      <c r="X10" s="38" t="str">
        <f aca="false">IF(OR($T10="",$J10="",$O10=""),"",$T10-$J10-$O10)</f>
        <v/>
      </c>
      <c r="Y10" s="32" t="str">
        <f aca="false">IF(OR($T10="",$J10="",$O10="",$J10=0),"",($T10-$J10-$O10)/$J10)</f>
        <v/>
      </c>
      <c r="Z10" s="7" t="str">
        <f aca="false">IF($X10="","",IF(ABS($X10)&gt;=Thresholds!$B$4,"MATERIAL","within"))</f>
        <v/>
      </c>
      <c r="AA10" s="28"/>
      <c r="AB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18"/>
      <c r="G11" s="5"/>
      <c r="H11" s="5"/>
      <c r="I11" s="5"/>
      <c r="J11" s="28"/>
      <c r="K11" s="28"/>
      <c r="L11" s="5"/>
      <c r="M11" s="5"/>
      <c r="N11" s="5"/>
      <c r="O11" s="28"/>
      <c r="P11" s="5"/>
      <c r="Q11" s="28"/>
      <c r="R11" s="28"/>
      <c r="S11" s="32" t="str">
        <f aca="false">IF(OR($Q11="",$R11="",$R11=0),"",$Q11/$R11)</f>
        <v/>
      </c>
      <c r="T11" s="28"/>
      <c r="U11" s="28"/>
      <c r="V11" s="5"/>
      <c r="W11" s="38" t="str">
        <f aca="false">IF(OR($T11="",$J11=""),"",$T11-$J11)</f>
        <v/>
      </c>
      <c r="X11" s="38" t="str">
        <f aca="false">IF(OR($T11="",$J11="",$O11=""),"",$T11-$J11-$O11)</f>
        <v/>
      </c>
      <c r="Y11" s="32" t="str">
        <f aca="false">IF(OR($T11="",$J11="",$O11="",$J11=0),"",($T11-$J11-$O11)/$J11)</f>
        <v/>
      </c>
      <c r="Z11" s="7" t="str">
        <f aca="false">IF($X11="","",IF(ABS($X11)&gt;=Thresholds!$B$4,"MATERIAL","within"))</f>
        <v/>
      </c>
      <c r="AA11" s="28"/>
      <c r="AB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18"/>
      <c r="G12" s="5"/>
      <c r="H12" s="5"/>
      <c r="I12" s="5"/>
      <c r="J12" s="28"/>
      <c r="K12" s="28"/>
      <c r="L12" s="5"/>
      <c r="M12" s="5"/>
      <c r="N12" s="5"/>
      <c r="O12" s="28"/>
      <c r="P12" s="5"/>
      <c r="Q12" s="28"/>
      <c r="R12" s="28"/>
      <c r="S12" s="32" t="str">
        <f aca="false">IF(OR($Q12="",$R12="",$R12=0),"",$Q12/$R12)</f>
        <v/>
      </c>
      <c r="T12" s="28"/>
      <c r="U12" s="28"/>
      <c r="V12" s="5"/>
      <c r="W12" s="38" t="str">
        <f aca="false">IF(OR($T12="",$J12=""),"",$T12-$J12)</f>
        <v/>
      </c>
      <c r="X12" s="38" t="str">
        <f aca="false">IF(OR($T12="",$J12="",$O12=""),"",$T12-$J12-$O12)</f>
        <v/>
      </c>
      <c r="Y12" s="32" t="str">
        <f aca="false">IF(OR($T12="",$J12="",$O12="",$J12=0),"",($T12-$J12-$O12)/$J12)</f>
        <v/>
      </c>
      <c r="Z12" s="7" t="str">
        <f aca="false">IF($X12="","",IF(ABS($X12)&gt;=Thresholds!$B$4,"MATERIAL","within"))</f>
        <v/>
      </c>
      <c r="AA12" s="28"/>
      <c r="AB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18"/>
      <c r="G13" s="5"/>
      <c r="H13" s="5"/>
      <c r="I13" s="5"/>
      <c r="J13" s="28"/>
      <c r="K13" s="28"/>
      <c r="L13" s="5"/>
      <c r="M13" s="5"/>
      <c r="N13" s="5"/>
      <c r="O13" s="28"/>
      <c r="P13" s="5"/>
      <c r="Q13" s="28"/>
      <c r="R13" s="28"/>
      <c r="S13" s="32" t="str">
        <f aca="false">IF(OR($Q13="",$R13="",$R13=0),"",$Q13/$R13)</f>
        <v/>
      </c>
      <c r="T13" s="28"/>
      <c r="U13" s="28"/>
      <c r="V13" s="5"/>
      <c r="W13" s="38" t="str">
        <f aca="false">IF(OR($T13="",$J13=""),"",$T13-$J13)</f>
        <v/>
      </c>
      <c r="X13" s="38" t="str">
        <f aca="false">IF(OR($T13="",$J13="",$O13=""),"",$T13-$J13-$O13)</f>
        <v/>
      </c>
      <c r="Y13" s="32" t="str">
        <f aca="false">IF(OR($T13="",$J13="",$O13="",$J13=0),"",($T13-$J13-$O13)/$J13)</f>
        <v/>
      </c>
      <c r="Z13" s="7" t="str">
        <f aca="false">IF($X13="","",IF(ABS($X13)&gt;=Thresholds!$B$4,"MATERIAL","within"))</f>
        <v/>
      </c>
      <c r="AA13" s="28"/>
      <c r="AB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18"/>
      <c r="G14" s="5"/>
      <c r="H14" s="5"/>
      <c r="I14" s="5"/>
      <c r="J14" s="28"/>
      <c r="K14" s="28"/>
      <c r="L14" s="5"/>
      <c r="M14" s="5"/>
      <c r="N14" s="5"/>
      <c r="O14" s="28"/>
      <c r="P14" s="5"/>
      <c r="Q14" s="28"/>
      <c r="R14" s="28"/>
      <c r="S14" s="32" t="str">
        <f aca="false">IF(OR($Q14="",$R14="",$R14=0),"",$Q14/$R14)</f>
        <v/>
      </c>
      <c r="T14" s="28"/>
      <c r="U14" s="28"/>
      <c r="V14" s="5"/>
      <c r="W14" s="38" t="str">
        <f aca="false">IF(OR($T14="",$J14=""),"",$T14-$J14)</f>
        <v/>
      </c>
      <c r="X14" s="38" t="str">
        <f aca="false">IF(OR($T14="",$J14="",$O14=""),"",$T14-$J14-$O14)</f>
        <v/>
      </c>
      <c r="Y14" s="32" t="str">
        <f aca="false">IF(OR($T14="",$J14="",$O14="",$J14=0),"",($T14-$J14-$O14)/$J14)</f>
        <v/>
      </c>
      <c r="Z14" s="7" t="str">
        <f aca="false">IF($X14="","",IF(ABS($X14)&gt;=Thresholds!$B$4,"MATERIAL","within"))</f>
        <v/>
      </c>
      <c r="AA14" s="28"/>
      <c r="AB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18"/>
      <c r="G15" s="5"/>
      <c r="H15" s="5"/>
      <c r="I15" s="5"/>
      <c r="J15" s="28"/>
      <c r="K15" s="28"/>
      <c r="L15" s="5"/>
      <c r="M15" s="5"/>
      <c r="N15" s="5"/>
      <c r="O15" s="28"/>
      <c r="P15" s="5"/>
      <c r="Q15" s="28"/>
      <c r="R15" s="28"/>
      <c r="S15" s="32" t="str">
        <f aca="false">IF(OR($Q15="",$R15="",$R15=0),"",$Q15/$R15)</f>
        <v/>
      </c>
      <c r="T15" s="28"/>
      <c r="U15" s="28"/>
      <c r="V15" s="5"/>
      <c r="W15" s="38" t="str">
        <f aca="false">IF(OR($T15="",$J15=""),"",$T15-$J15)</f>
        <v/>
      </c>
      <c r="X15" s="38" t="str">
        <f aca="false">IF(OR($T15="",$J15="",$O15=""),"",$T15-$J15-$O15)</f>
        <v/>
      </c>
      <c r="Y15" s="32" t="str">
        <f aca="false">IF(OR($T15="",$J15="",$O15="",$J15=0),"",($T15-$J15-$O15)/$J15)</f>
        <v/>
      </c>
      <c r="Z15" s="7" t="str">
        <f aca="false">IF($X15="","",IF(ABS($X15)&gt;=Thresholds!$B$4,"MATERIAL","within"))</f>
        <v/>
      </c>
      <c r="AA15" s="28"/>
      <c r="AB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18"/>
      <c r="G16" s="5"/>
      <c r="H16" s="5"/>
      <c r="I16" s="5"/>
      <c r="J16" s="28"/>
      <c r="K16" s="28"/>
      <c r="L16" s="5"/>
      <c r="M16" s="5"/>
      <c r="N16" s="5"/>
      <c r="O16" s="28"/>
      <c r="P16" s="5"/>
      <c r="Q16" s="28"/>
      <c r="R16" s="28"/>
      <c r="S16" s="32" t="str">
        <f aca="false">IF(OR($Q16="",$R16="",$R16=0),"",$Q16/$R16)</f>
        <v/>
      </c>
      <c r="T16" s="28"/>
      <c r="U16" s="28"/>
      <c r="V16" s="5"/>
      <c r="W16" s="38" t="str">
        <f aca="false">IF(OR($T16="",$J16=""),"",$T16-$J16)</f>
        <v/>
      </c>
      <c r="X16" s="38" t="str">
        <f aca="false">IF(OR($T16="",$J16="",$O16=""),"",$T16-$J16-$O16)</f>
        <v/>
      </c>
      <c r="Y16" s="32" t="str">
        <f aca="false">IF(OR($T16="",$J16="",$O16="",$J16=0),"",($T16-$J16-$O16)/$J16)</f>
        <v/>
      </c>
      <c r="Z16" s="7" t="str">
        <f aca="false">IF($X16="","",IF(ABS($X16)&gt;=Thresholds!$B$4,"MATERIAL","within"))</f>
        <v/>
      </c>
      <c r="AA16" s="28"/>
      <c r="AB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18"/>
      <c r="G17" s="5"/>
      <c r="H17" s="5"/>
      <c r="I17" s="5"/>
      <c r="J17" s="28"/>
      <c r="K17" s="28"/>
      <c r="L17" s="5"/>
      <c r="M17" s="5"/>
      <c r="N17" s="5"/>
      <c r="O17" s="28"/>
      <c r="P17" s="5"/>
      <c r="Q17" s="28"/>
      <c r="R17" s="28"/>
      <c r="S17" s="32" t="str">
        <f aca="false">IF(OR($Q17="",$R17="",$R17=0),"",$Q17/$R17)</f>
        <v/>
      </c>
      <c r="T17" s="28"/>
      <c r="U17" s="28"/>
      <c r="V17" s="5"/>
      <c r="W17" s="38" t="str">
        <f aca="false">IF(OR($T17="",$J17=""),"",$T17-$J17)</f>
        <v/>
      </c>
      <c r="X17" s="38" t="str">
        <f aca="false">IF(OR($T17="",$J17="",$O17=""),"",$T17-$J17-$O17)</f>
        <v/>
      </c>
      <c r="Y17" s="32" t="str">
        <f aca="false">IF(OR($T17="",$J17="",$O17="",$J17=0),"",($T17-$J17-$O17)/$J17)</f>
        <v/>
      </c>
      <c r="Z17" s="7" t="str">
        <f aca="false">IF($X17="","",IF(ABS($X17)&gt;=Thresholds!$B$4,"MATERIAL","within"))</f>
        <v/>
      </c>
      <c r="AA17" s="28"/>
      <c r="AB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18"/>
      <c r="G18" s="5"/>
      <c r="H18" s="5"/>
      <c r="I18" s="5"/>
      <c r="J18" s="28"/>
      <c r="K18" s="28"/>
      <c r="L18" s="5"/>
      <c r="M18" s="5"/>
      <c r="N18" s="5"/>
      <c r="O18" s="28"/>
      <c r="P18" s="5"/>
      <c r="Q18" s="28"/>
      <c r="R18" s="28"/>
      <c r="S18" s="32" t="str">
        <f aca="false">IF(OR($Q18="",$R18="",$R18=0),"",$Q18/$R18)</f>
        <v/>
      </c>
      <c r="T18" s="28"/>
      <c r="U18" s="28"/>
      <c r="V18" s="5"/>
      <c r="W18" s="38" t="str">
        <f aca="false">IF(OR($T18="",$J18=""),"",$T18-$J18)</f>
        <v/>
      </c>
      <c r="X18" s="38" t="str">
        <f aca="false">IF(OR($T18="",$J18="",$O18=""),"",$T18-$J18-$O18)</f>
        <v/>
      </c>
      <c r="Y18" s="32" t="str">
        <f aca="false">IF(OR($T18="",$J18="",$O18="",$J18=0),"",($T18-$J18-$O18)/$J18)</f>
        <v/>
      </c>
      <c r="Z18" s="7" t="str">
        <f aca="false">IF($X18="","",IF(ABS($X18)&gt;=Thresholds!$B$4,"MATERIAL","within"))</f>
        <v/>
      </c>
      <c r="AA18" s="28"/>
      <c r="AB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18"/>
      <c r="G19" s="5"/>
      <c r="H19" s="5"/>
      <c r="I19" s="5"/>
      <c r="J19" s="28"/>
      <c r="K19" s="28"/>
      <c r="L19" s="5"/>
      <c r="M19" s="5"/>
      <c r="N19" s="5"/>
      <c r="O19" s="28"/>
      <c r="P19" s="5"/>
      <c r="Q19" s="28"/>
      <c r="R19" s="28"/>
      <c r="S19" s="32" t="str">
        <f aca="false">IF(OR($Q19="",$R19="",$R19=0),"",$Q19/$R19)</f>
        <v/>
      </c>
      <c r="T19" s="28"/>
      <c r="U19" s="28"/>
      <c r="V19" s="5"/>
      <c r="W19" s="38" t="str">
        <f aca="false">IF(OR($T19="",$J19=""),"",$T19-$J19)</f>
        <v/>
      </c>
      <c r="X19" s="38" t="str">
        <f aca="false">IF(OR($T19="",$J19="",$O19=""),"",$T19-$J19-$O19)</f>
        <v/>
      </c>
      <c r="Y19" s="32" t="str">
        <f aca="false">IF(OR($T19="",$J19="",$O19="",$J19=0),"",($T19-$J19-$O19)/$J19)</f>
        <v/>
      </c>
      <c r="Z19" s="7" t="str">
        <f aca="false">IF($X19="","",IF(ABS($X19)&gt;=Thresholds!$B$4,"MATERIAL","within"))</f>
        <v/>
      </c>
      <c r="AA19" s="28"/>
      <c r="AB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18"/>
      <c r="G20" s="5"/>
      <c r="H20" s="5"/>
      <c r="I20" s="5"/>
      <c r="J20" s="28"/>
      <c r="K20" s="28"/>
      <c r="L20" s="5"/>
      <c r="M20" s="5"/>
      <c r="N20" s="5"/>
      <c r="O20" s="28"/>
      <c r="P20" s="5"/>
      <c r="Q20" s="28"/>
      <c r="R20" s="28"/>
      <c r="S20" s="32" t="str">
        <f aca="false">IF(OR($Q20="",$R20="",$R20=0),"",$Q20/$R20)</f>
        <v/>
      </c>
      <c r="T20" s="28"/>
      <c r="U20" s="28"/>
      <c r="V20" s="5"/>
      <c r="W20" s="38" t="str">
        <f aca="false">IF(OR($T20="",$J20=""),"",$T20-$J20)</f>
        <v/>
      </c>
      <c r="X20" s="38" t="str">
        <f aca="false">IF(OR($T20="",$J20="",$O20=""),"",$T20-$J20-$O20)</f>
        <v/>
      </c>
      <c r="Y20" s="32" t="str">
        <f aca="false">IF(OR($T20="",$J20="",$O20="",$J20=0),"",($T20-$J20-$O20)/$J20)</f>
        <v/>
      </c>
      <c r="Z20" s="7" t="str">
        <f aca="false">IF($X20="","",IF(ABS($X20)&gt;=Thresholds!$B$4,"MATERIAL","within"))</f>
        <v/>
      </c>
      <c r="AA20" s="28"/>
      <c r="AB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18"/>
      <c r="G21" s="5"/>
      <c r="H21" s="5"/>
      <c r="I21" s="5"/>
      <c r="J21" s="28"/>
      <c r="K21" s="28"/>
      <c r="L21" s="5"/>
      <c r="M21" s="5"/>
      <c r="N21" s="5"/>
      <c r="O21" s="28"/>
      <c r="P21" s="5"/>
      <c r="Q21" s="28"/>
      <c r="R21" s="28"/>
      <c r="S21" s="32" t="str">
        <f aca="false">IF(OR($Q21="",$R21="",$R21=0),"",$Q21/$R21)</f>
        <v/>
      </c>
      <c r="T21" s="28"/>
      <c r="U21" s="28"/>
      <c r="V21" s="5"/>
      <c r="W21" s="38" t="str">
        <f aca="false">IF(OR($T21="",$J21=""),"",$T21-$J21)</f>
        <v/>
      </c>
      <c r="X21" s="38" t="str">
        <f aca="false">IF(OR($T21="",$J21="",$O21=""),"",$T21-$J21-$O21)</f>
        <v/>
      </c>
      <c r="Y21" s="32" t="str">
        <f aca="false">IF(OR($T21="",$J21="",$O21="",$J21=0),"",($T21-$J21-$O21)/$J21)</f>
        <v/>
      </c>
      <c r="Z21" s="7" t="str">
        <f aca="false">IF($X21="","",IF(ABS($X21)&gt;=Thresholds!$B$4,"MATERIAL","within"))</f>
        <v/>
      </c>
      <c r="AA21" s="28"/>
      <c r="AB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18"/>
      <c r="G22" s="5"/>
      <c r="H22" s="5"/>
      <c r="I22" s="5"/>
      <c r="J22" s="28"/>
      <c r="K22" s="28"/>
      <c r="L22" s="5"/>
      <c r="M22" s="5"/>
      <c r="N22" s="5"/>
      <c r="O22" s="28"/>
      <c r="P22" s="5"/>
      <c r="Q22" s="28"/>
      <c r="R22" s="28"/>
      <c r="S22" s="32" t="str">
        <f aca="false">IF(OR($Q22="",$R22="",$R22=0),"",$Q22/$R22)</f>
        <v/>
      </c>
      <c r="T22" s="28"/>
      <c r="U22" s="28"/>
      <c r="V22" s="5"/>
      <c r="W22" s="38" t="str">
        <f aca="false">IF(OR($T22="",$J22=""),"",$T22-$J22)</f>
        <v/>
      </c>
      <c r="X22" s="38" t="str">
        <f aca="false">IF(OR($T22="",$J22="",$O22=""),"",$T22-$J22-$O22)</f>
        <v/>
      </c>
      <c r="Y22" s="32" t="str">
        <f aca="false">IF(OR($T22="",$J22="",$O22="",$J22=0),"",($T22-$J22-$O22)/$J22)</f>
        <v/>
      </c>
      <c r="Z22" s="7" t="str">
        <f aca="false">IF($X22="","",IF(ABS($X22)&gt;=Thresholds!$B$4,"MATERIAL","within"))</f>
        <v/>
      </c>
      <c r="AA22" s="28"/>
      <c r="AB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18"/>
      <c r="G23" s="5"/>
      <c r="H23" s="5"/>
      <c r="I23" s="5"/>
      <c r="J23" s="28"/>
      <c r="K23" s="28"/>
      <c r="L23" s="5"/>
      <c r="M23" s="5"/>
      <c r="N23" s="5"/>
      <c r="O23" s="28"/>
      <c r="P23" s="5"/>
      <c r="Q23" s="28"/>
      <c r="R23" s="28"/>
      <c r="S23" s="32" t="str">
        <f aca="false">IF(OR($Q23="",$R23="",$R23=0),"",$Q23/$R23)</f>
        <v/>
      </c>
      <c r="T23" s="28"/>
      <c r="U23" s="28"/>
      <c r="V23" s="5"/>
      <c r="W23" s="38" t="str">
        <f aca="false">IF(OR($T23="",$J23=""),"",$T23-$J23)</f>
        <v/>
      </c>
      <c r="X23" s="38" t="str">
        <f aca="false">IF(OR($T23="",$J23="",$O23=""),"",$T23-$J23-$O23)</f>
        <v/>
      </c>
      <c r="Y23" s="32" t="str">
        <f aca="false">IF(OR($T23="",$J23="",$O23="",$J23=0),"",($T23-$J23-$O23)/$J23)</f>
        <v/>
      </c>
      <c r="Z23" s="7" t="str">
        <f aca="false">IF($X23="","",IF(ABS($X23)&gt;=Thresholds!$B$4,"MATERIAL","within"))</f>
        <v/>
      </c>
      <c r="AA23" s="28"/>
      <c r="AB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18"/>
      <c r="G24" s="5"/>
      <c r="H24" s="5"/>
      <c r="I24" s="5"/>
      <c r="J24" s="28"/>
      <c r="K24" s="28"/>
      <c r="L24" s="5"/>
      <c r="M24" s="5"/>
      <c r="N24" s="5"/>
      <c r="O24" s="28"/>
      <c r="P24" s="5"/>
      <c r="Q24" s="28"/>
      <c r="R24" s="28"/>
      <c r="S24" s="32" t="str">
        <f aca="false">IF(OR($Q24="",$R24="",$R24=0),"",$Q24/$R24)</f>
        <v/>
      </c>
      <c r="T24" s="28"/>
      <c r="U24" s="28"/>
      <c r="V24" s="5"/>
      <c r="W24" s="38" t="str">
        <f aca="false">IF(OR($T24="",$J24=""),"",$T24-$J24)</f>
        <v/>
      </c>
      <c r="X24" s="38" t="str">
        <f aca="false">IF(OR($T24="",$J24="",$O24=""),"",$T24-$J24-$O24)</f>
        <v/>
      </c>
      <c r="Y24" s="32" t="str">
        <f aca="false">IF(OR($T24="",$J24="",$O24="",$J24=0),"",($T24-$J24-$O24)/$J24)</f>
        <v/>
      </c>
      <c r="Z24" s="7" t="str">
        <f aca="false">IF($X24="","",IF(ABS($X24)&gt;=Thresholds!$B$4,"MATERIAL","within"))</f>
        <v/>
      </c>
      <c r="AA24" s="28"/>
      <c r="AB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18"/>
      <c r="G25" s="5"/>
      <c r="H25" s="5"/>
      <c r="I25" s="5"/>
      <c r="J25" s="28"/>
      <c r="K25" s="28"/>
      <c r="L25" s="5"/>
      <c r="M25" s="5"/>
      <c r="N25" s="5"/>
      <c r="O25" s="28"/>
      <c r="P25" s="5"/>
      <c r="Q25" s="28"/>
      <c r="R25" s="28"/>
      <c r="S25" s="32" t="str">
        <f aca="false">IF(OR($Q25="",$R25="",$R25=0),"",$Q25/$R25)</f>
        <v/>
      </c>
      <c r="T25" s="28"/>
      <c r="U25" s="28"/>
      <c r="V25" s="5"/>
      <c r="W25" s="38" t="str">
        <f aca="false">IF(OR($T25="",$J25=""),"",$T25-$J25)</f>
        <v/>
      </c>
      <c r="X25" s="38" t="str">
        <f aca="false">IF(OR($T25="",$J25="",$O25=""),"",$T25-$J25-$O25)</f>
        <v/>
      </c>
      <c r="Y25" s="32" t="str">
        <f aca="false">IF(OR($T25="",$J25="",$O25="",$J25=0),"",($T25-$J25-$O25)/$J25)</f>
        <v/>
      </c>
      <c r="Z25" s="7" t="str">
        <f aca="false">IF($X25="","",IF(ABS($X25)&gt;=Thresholds!$B$4,"MATERIAL","within"))</f>
        <v/>
      </c>
      <c r="AA25" s="28"/>
      <c r="AB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18"/>
      <c r="G26" s="5"/>
      <c r="H26" s="5"/>
      <c r="I26" s="5"/>
      <c r="J26" s="28"/>
      <c r="K26" s="28"/>
      <c r="L26" s="5"/>
      <c r="M26" s="5"/>
      <c r="N26" s="5"/>
      <c r="O26" s="28"/>
      <c r="P26" s="5"/>
      <c r="Q26" s="28"/>
      <c r="R26" s="28"/>
      <c r="S26" s="32" t="str">
        <f aca="false">IF(OR($Q26="",$R26="",$R26=0),"",$Q26/$R26)</f>
        <v/>
      </c>
      <c r="T26" s="28"/>
      <c r="U26" s="28"/>
      <c r="V26" s="5"/>
      <c r="W26" s="38" t="str">
        <f aca="false">IF(OR($T26="",$J26=""),"",$T26-$J26)</f>
        <v/>
      </c>
      <c r="X26" s="38" t="str">
        <f aca="false">IF(OR($T26="",$J26="",$O26=""),"",$T26-$J26-$O26)</f>
        <v/>
      </c>
      <c r="Y26" s="32" t="str">
        <f aca="false">IF(OR($T26="",$J26="",$O26="",$J26=0),"",($T26-$J26-$O26)/$J26)</f>
        <v/>
      </c>
      <c r="Z26" s="7" t="str">
        <f aca="false">IF($X26="","",IF(ABS($X26)&gt;=Thresholds!$B$4,"MATERIAL","within"))</f>
        <v/>
      </c>
      <c r="AA26" s="28"/>
      <c r="AB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18"/>
      <c r="G27" s="5"/>
      <c r="H27" s="5"/>
      <c r="I27" s="5"/>
      <c r="J27" s="28"/>
      <c r="K27" s="28"/>
      <c r="L27" s="5"/>
      <c r="M27" s="5"/>
      <c r="N27" s="5"/>
      <c r="O27" s="28"/>
      <c r="P27" s="5"/>
      <c r="Q27" s="28"/>
      <c r="R27" s="28"/>
      <c r="S27" s="32" t="str">
        <f aca="false">IF(OR($Q27="",$R27="",$R27=0),"",$Q27/$R27)</f>
        <v/>
      </c>
      <c r="T27" s="28"/>
      <c r="U27" s="28"/>
      <c r="V27" s="5"/>
      <c r="W27" s="38" t="str">
        <f aca="false">IF(OR($T27="",$J27=""),"",$T27-$J27)</f>
        <v/>
      </c>
      <c r="X27" s="38" t="str">
        <f aca="false">IF(OR($T27="",$J27="",$O27=""),"",$T27-$J27-$O27)</f>
        <v/>
      </c>
      <c r="Y27" s="32" t="str">
        <f aca="false">IF(OR($T27="",$J27="",$O27="",$J27=0),"",($T27-$J27-$O27)/$J27)</f>
        <v/>
      </c>
      <c r="Z27" s="7" t="str">
        <f aca="false">IF($X27="","",IF(ABS($X27)&gt;=Thresholds!$B$4,"MATERIAL","within"))</f>
        <v/>
      </c>
      <c r="AA27" s="28"/>
      <c r="AB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18"/>
      <c r="G28" s="5"/>
      <c r="H28" s="5"/>
      <c r="I28" s="5"/>
      <c r="J28" s="28"/>
      <c r="K28" s="28"/>
      <c r="L28" s="5"/>
      <c r="M28" s="5"/>
      <c r="N28" s="5"/>
      <c r="O28" s="28"/>
      <c r="P28" s="5"/>
      <c r="Q28" s="28"/>
      <c r="R28" s="28"/>
      <c r="S28" s="32" t="str">
        <f aca="false">IF(OR($Q28="",$R28="",$R28=0),"",$Q28/$R28)</f>
        <v/>
      </c>
      <c r="T28" s="28"/>
      <c r="U28" s="28"/>
      <c r="V28" s="5"/>
      <c r="W28" s="38" t="str">
        <f aca="false">IF(OR($T28="",$J28=""),"",$T28-$J28)</f>
        <v/>
      </c>
      <c r="X28" s="38" t="str">
        <f aca="false">IF(OR($T28="",$J28="",$O28=""),"",$T28-$J28-$O28)</f>
        <v/>
      </c>
      <c r="Y28" s="32" t="str">
        <f aca="false">IF(OR($T28="",$J28="",$O28="",$J28=0),"",($T28-$J28-$O28)/$J28)</f>
        <v/>
      </c>
      <c r="Z28" s="7" t="str">
        <f aca="false">IF($X28="","",IF(ABS($X28)&gt;=Thresholds!$B$4,"MATERIAL","within"))</f>
        <v/>
      </c>
      <c r="AA28" s="28"/>
      <c r="AB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18"/>
      <c r="G29" s="5"/>
      <c r="H29" s="5"/>
      <c r="I29" s="5"/>
      <c r="J29" s="28"/>
      <c r="K29" s="28"/>
      <c r="L29" s="5"/>
      <c r="M29" s="5"/>
      <c r="N29" s="5"/>
      <c r="O29" s="28"/>
      <c r="P29" s="5"/>
      <c r="Q29" s="28"/>
      <c r="R29" s="28"/>
      <c r="S29" s="32" t="str">
        <f aca="false">IF(OR($Q29="",$R29="",$R29=0),"",$Q29/$R29)</f>
        <v/>
      </c>
      <c r="T29" s="28"/>
      <c r="U29" s="28"/>
      <c r="V29" s="5"/>
      <c r="W29" s="38" t="str">
        <f aca="false">IF(OR($T29="",$J29=""),"",$T29-$J29)</f>
        <v/>
      </c>
      <c r="X29" s="38" t="str">
        <f aca="false">IF(OR($T29="",$J29="",$O29=""),"",$T29-$J29-$O29)</f>
        <v/>
      </c>
      <c r="Y29" s="32" t="str">
        <f aca="false">IF(OR($T29="",$J29="",$O29="",$J29=0),"",($T29-$J29-$O29)/$J29)</f>
        <v/>
      </c>
      <c r="Z29" s="7" t="str">
        <f aca="false">IF($X29="","",IF(ABS($X29)&gt;=Thresholds!$B$4,"MATERIAL","within"))</f>
        <v/>
      </c>
      <c r="AA29" s="28"/>
      <c r="AB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18"/>
      <c r="G30" s="5"/>
      <c r="H30" s="5"/>
      <c r="I30" s="5"/>
      <c r="J30" s="28"/>
      <c r="K30" s="28"/>
      <c r="L30" s="5"/>
      <c r="M30" s="5"/>
      <c r="N30" s="5"/>
      <c r="O30" s="28"/>
      <c r="P30" s="5"/>
      <c r="Q30" s="28"/>
      <c r="R30" s="28"/>
      <c r="S30" s="32" t="str">
        <f aca="false">IF(OR($Q30="",$R30="",$R30=0),"",$Q30/$R30)</f>
        <v/>
      </c>
      <c r="T30" s="28"/>
      <c r="U30" s="28"/>
      <c r="V30" s="5"/>
      <c r="W30" s="38" t="str">
        <f aca="false">IF(OR($T30="",$J30=""),"",$T30-$J30)</f>
        <v/>
      </c>
      <c r="X30" s="38" t="str">
        <f aca="false">IF(OR($T30="",$J30="",$O30=""),"",$T30-$J30-$O30)</f>
        <v/>
      </c>
      <c r="Y30" s="32" t="str">
        <f aca="false">IF(OR($T30="",$J30="",$O30="",$J30=0),"",($T30-$J30-$O30)/$J30)</f>
        <v/>
      </c>
      <c r="Z30" s="7" t="str">
        <f aca="false">IF($X30="","",IF(ABS($X30)&gt;=Thresholds!$B$4,"MATERIAL","within"))</f>
        <v/>
      </c>
      <c r="AA30" s="28"/>
      <c r="AB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18"/>
      <c r="G31" s="5"/>
      <c r="H31" s="5"/>
      <c r="I31" s="5"/>
      <c r="J31" s="28"/>
      <c r="K31" s="28"/>
      <c r="L31" s="5"/>
      <c r="M31" s="5"/>
      <c r="N31" s="5"/>
      <c r="O31" s="28"/>
      <c r="P31" s="5"/>
      <c r="Q31" s="28"/>
      <c r="R31" s="28"/>
      <c r="S31" s="32" t="str">
        <f aca="false">IF(OR($Q31="",$R31="",$R31=0),"",$Q31/$R31)</f>
        <v/>
      </c>
      <c r="T31" s="28"/>
      <c r="U31" s="28"/>
      <c r="V31" s="5"/>
      <c r="W31" s="38" t="str">
        <f aca="false">IF(OR($T31="",$J31=""),"",$T31-$J31)</f>
        <v/>
      </c>
      <c r="X31" s="38" t="str">
        <f aca="false">IF(OR($T31="",$J31="",$O31=""),"",$T31-$J31-$O31)</f>
        <v/>
      </c>
      <c r="Y31" s="32" t="str">
        <f aca="false">IF(OR($T31="",$J31="",$O31="",$J31=0),"",($T31-$J31-$O31)/$J31)</f>
        <v/>
      </c>
      <c r="Z31" s="7" t="str">
        <f aca="false">IF($X31="","",IF(ABS($X31)&gt;=Thresholds!$B$4,"MATERIAL","within"))</f>
        <v/>
      </c>
      <c r="AA31" s="28"/>
      <c r="AB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18"/>
      <c r="G32" s="5"/>
      <c r="H32" s="5"/>
      <c r="I32" s="5"/>
      <c r="J32" s="28"/>
      <c r="K32" s="28"/>
      <c r="L32" s="5"/>
      <c r="M32" s="5"/>
      <c r="N32" s="5"/>
      <c r="O32" s="28"/>
      <c r="P32" s="5"/>
      <c r="Q32" s="28"/>
      <c r="R32" s="28"/>
      <c r="S32" s="32" t="str">
        <f aca="false">IF(OR($Q32="",$R32="",$R32=0),"",$Q32/$R32)</f>
        <v/>
      </c>
      <c r="T32" s="28"/>
      <c r="U32" s="28"/>
      <c r="V32" s="5"/>
      <c r="W32" s="38" t="str">
        <f aca="false">IF(OR($T32="",$J32=""),"",$T32-$J32)</f>
        <v/>
      </c>
      <c r="X32" s="38" t="str">
        <f aca="false">IF(OR($T32="",$J32="",$O32=""),"",$T32-$J32-$O32)</f>
        <v/>
      </c>
      <c r="Y32" s="32" t="str">
        <f aca="false">IF(OR($T32="",$J32="",$O32="",$J32=0),"",($T32-$J32-$O32)/$J32)</f>
        <v/>
      </c>
      <c r="Z32" s="7" t="str">
        <f aca="false">IF($X32="","",IF(ABS($X32)&gt;=Thresholds!$B$4,"MATERIAL","within"))</f>
        <v/>
      </c>
      <c r="AA32" s="28"/>
      <c r="AB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18"/>
      <c r="G33" s="5"/>
      <c r="H33" s="5"/>
      <c r="I33" s="5"/>
      <c r="J33" s="28"/>
      <c r="K33" s="28"/>
      <c r="L33" s="5"/>
      <c r="M33" s="5"/>
      <c r="N33" s="5"/>
      <c r="O33" s="28"/>
      <c r="P33" s="5"/>
      <c r="Q33" s="28"/>
      <c r="R33" s="28"/>
      <c r="S33" s="32" t="str">
        <f aca="false">IF(OR($Q33="",$R33="",$R33=0),"",$Q33/$R33)</f>
        <v/>
      </c>
      <c r="T33" s="28"/>
      <c r="U33" s="28"/>
      <c r="V33" s="5"/>
      <c r="W33" s="38" t="str">
        <f aca="false">IF(OR($T33="",$J33=""),"",$T33-$J33)</f>
        <v/>
      </c>
      <c r="X33" s="38" t="str">
        <f aca="false">IF(OR($T33="",$J33="",$O33=""),"",$T33-$J33-$O33)</f>
        <v/>
      </c>
      <c r="Y33" s="32" t="str">
        <f aca="false">IF(OR($T33="",$J33="",$O33="",$J33=0),"",($T33-$J33-$O33)/$J33)</f>
        <v/>
      </c>
      <c r="Z33" s="7" t="str">
        <f aca="false">IF($X33="","",IF(ABS($X33)&gt;=Thresholds!$B$4,"MATERIAL","within"))</f>
        <v/>
      </c>
      <c r="AA33" s="28"/>
      <c r="AB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18"/>
      <c r="G34" s="5"/>
      <c r="H34" s="5"/>
      <c r="I34" s="5"/>
      <c r="J34" s="28"/>
      <c r="K34" s="28"/>
      <c r="L34" s="5"/>
      <c r="M34" s="5"/>
      <c r="N34" s="5"/>
      <c r="O34" s="28"/>
      <c r="P34" s="5"/>
      <c r="Q34" s="28"/>
      <c r="R34" s="28"/>
      <c r="S34" s="32" t="str">
        <f aca="false">IF(OR($Q34="",$R34="",$R34=0),"",$Q34/$R34)</f>
        <v/>
      </c>
      <c r="T34" s="28"/>
      <c r="U34" s="28"/>
      <c r="V34" s="5"/>
      <c r="W34" s="38" t="str">
        <f aca="false">IF(OR($T34="",$J34=""),"",$T34-$J34)</f>
        <v/>
      </c>
      <c r="X34" s="38" t="str">
        <f aca="false">IF(OR($T34="",$J34="",$O34=""),"",$T34-$J34-$O34)</f>
        <v/>
      </c>
      <c r="Y34" s="32" t="str">
        <f aca="false">IF(OR($T34="",$J34="",$O34="",$J34=0),"",($T34-$J34-$O34)/$J34)</f>
        <v/>
      </c>
      <c r="Z34" s="7" t="str">
        <f aca="false">IF($X34="","",IF(ABS($X34)&gt;=Thresholds!$B$4,"MATERIAL","within"))</f>
        <v/>
      </c>
      <c r="AA34" s="28"/>
      <c r="AB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18"/>
      <c r="G35" s="5"/>
      <c r="H35" s="5"/>
      <c r="I35" s="5"/>
      <c r="J35" s="28"/>
      <c r="K35" s="28"/>
      <c r="L35" s="5"/>
      <c r="M35" s="5"/>
      <c r="N35" s="5"/>
      <c r="O35" s="28"/>
      <c r="P35" s="5"/>
      <c r="Q35" s="28"/>
      <c r="R35" s="28"/>
      <c r="S35" s="32" t="str">
        <f aca="false">IF(OR($Q35="",$R35="",$R35=0),"",$Q35/$R35)</f>
        <v/>
      </c>
      <c r="T35" s="28"/>
      <c r="U35" s="28"/>
      <c r="V35" s="5"/>
      <c r="W35" s="38" t="str">
        <f aca="false">IF(OR($T35="",$J35=""),"",$T35-$J35)</f>
        <v/>
      </c>
      <c r="X35" s="38" t="str">
        <f aca="false">IF(OR($T35="",$J35="",$O35=""),"",$T35-$J35-$O35)</f>
        <v/>
      </c>
      <c r="Y35" s="32" t="str">
        <f aca="false">IF(OR($T35="",$J35="",$O35="",$J35=0),"",($T35-$J35-$O35)/$J35)</f>
        <v/>
      </c>
      <c r="Z35" s="7" t="str">
        <f aca="false">IF($X35="","",IF(ABS($X35)&gt;=Thresholds!$B$4,"MATERIAL","within"))</f>
        <v/>
      </c>
      <c r="AA35" s="28"/>
      <c r="AB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18"/>
      <c r="G36" s="5"/>
      <c r="H36" s="5"/>
      <c r="I36" s="5"/>
      <c r="J36" s="28"/>
      <c r="K36" s="28"/>
      <c r="L36" s="5"/>
      <c r="M36" s="5"/>
      <c r="N36" s="5"/>
      <c r="O36" s="28"/>
      <c r="P36" s="5"/>
      <c r="Q36" s="28"/>
      <c r="R36" s="28"/>
      <c r="S36" s="32" t="str">
        <f aca="false">IF(OR($Q36="",$R36="",$R36=0),"",$Q36/$R36)</f>
        <v/>
      </c>
      <c r="T36" s="28"/>
      <c r="U36" s="28"/>
      <c r="V36" s="5"/>
      <c r="W36" s="38" t="str">
        <f aca="false">IF(OR($T36="",$J36=""),"",$T36-$J36)</f>
        <v/>
      </c>
      <c r="X36" s="38" t="str">
        <f aca="false">IF(OR($T36="",$J36="",$O36=""),"",$T36-$J36-$O36)</f>
        <v/>
      </c>
      <c r="Y36" s="32" t="str">
        <f aca="false">IF(OR($T36="",$J36="",$O36="",$J36=0),"",($T36-$J36-$O36)/$J36)</f>
        <v/>
      </c>
      <c r="Z36" s="7" t="str">
        <f aca="false">IF($X36="","",IF(ABS($X36)&gt;=Thresholds!$B$4,"MATERIAL","within"))</f>
        <v/>
      </c>
      <c r="AA36" s="28"/>
      <c r="AB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18"/>
      <c r="G37" s="5"/>
      <c r="H37" s="5"/>
      <c r="I37" s="5"/>
      <c r="J37" s="28"/>
      <c r="K37" s="28"/>
      <c r="L37" s="5"/>
      <c r="M37" s="5"/>
      <c r="N37" s="5"/>
      <c r="O37" s="28"/>
      <c r="P37" s="5"/>
      <c r="Q37" s="28"/>
      <c r="R37" s="28"/>
      <c r="S37" s="32" t="str">
        <f aca="false">IF(OR($Q37="",$R37="",$R37=0),"",$Q37/$R37)</f>
        <v/>
      </c>
      <c r="T37" s="28"/>
      <c r="U37" s="28"/>
      <c r="V37" s="5"/>
      <c r="W37" s="38" t="str">
        <f aca="false">IF(OR($T37="",$J37=""),"",$T37-$J37)</f>
        <v/>
      </c>
      <c r="X37" s="38" t="str">
        <f aca="false">IF(OR($T37="",$J37="",$O37=""),"",$T37-$J37-$O37)</f>
        <v/>
      </c>
      <c r="Y37" s="32" t="str">
        <f aca="false">IF(OR($T37="",$J37="",$O37="",$J37=0),"",($T37-$J37-$O37)/$J37)</f>
        <v/>
      </c>
      <c r="Z37" s="7" t="str">
        <f aca="false">IF($X37="","",IF(ABS($X37)&gt;=Thresholds!$B$4,"MATERIAL","within"))</f>
        <v/>
      </c>
      <c r="AA37" s="28"/>
      <c r="AB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18"/>
      <c r="G38" s="5"/>
      <c r="H38" s="5"/>
      <c r="I38" s="5"/>
      <c r="J38" s="28"/>
      <c r="K38" s="28"/>
      <c r="L38" s="5"/>
      <c r="M38" s="5"/>
      <c r="N38" s="5"/>
      <c r="O38" s="28"/>
      <c r="P38" s="5"/>
      <c r="Q38" s="28"/>
      <c r="R38" s="28"/>
      <c r="S38" s="32" t="str">
        <f aca="false">IF(OR($Q38="",$R38="",$R38=0),"",$Q38/$R38)</f>
        <v/>
      </c>
      <c r="T38" s="28"/>
      <c r="U38" s="28"/>
      <c r="V38" s="5"/>
      <c r="W38" s="38" t="str">
        <f aca="false">IF(OR($T38="",$J38=""),"",$T38-$J38)</f>
        <v/>
      </c>
      <c r="X38" s="38" t="str">
        <f aca="false">IF(OR($T38="",$J38="",$O38=""),"",$T38-$J38-$O38)</f>
        <v/>
      </c>
      <c r="Y38" s="32" t="str">
        <f aca="false">IF(OR($T38="",$J38="",$O38="",$J38=0),"",($T38-$J38-$O38)/$J38)</f>
        <v/>
      </c>
      <c r="Z38" s="7" t="str">
        <f aca="false">IF($X38="","",IF(ABS($X38)&gt;=Thresholds!$B$4,"MATERIAL","within"))</f>
        <v/>
      </c>
      <c r="AA38" s="28"/>
      <c r="AB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18"/>
      <c r="G39" s="5"/>
      <c r="H39" s="5"/>
      <c r="I39" s="5"/>
      <c r="J39" s="28"/>
      <c r="K39" s="28"/>
      <c r="L39" s="5"/>
      <c r="M39" s="5"/>
      <c r="N39" s="5"/>
      <c r="O39" s="28"/>
      <c r="P39" s="5"/>
      <c r="Q39" s="28"/>
      <c r="R39" s="28"/>
      <c r="S39" s="32" t="str">
        <f aca="false">IF(OR($Q39="",$R39="",$R39=0),"",$Q39/$R39)</f>
        <v/>
      </c>
      <c r="T39" s="28"/>
      <c r="U39" s="28"/>
      <c r="V39" s="5"/>
      <c r="W39" s="38" t="str">
        <f aca="false">IF(OR($T39="",$J39=""),"",$T39-$J39)</f>
        <v/>
      </c>
      <c r="X39" s="38" t="str">
        <f aca="false">IF(OR($T39="",$J39="",$O39=""),"",$T39-$J39-$O39)</f>
        <v/>
      </c>
      <c r="Y39" s="32" t="str">
        <f aca="false">IF(OR($T39="",$J39="",$O39="",$J39=0),"",($T39-$J39-$O39)/$J39)</f>
        <v/>
      </c>
      <c r="Z39" s="7" t="str">
        <f aca="false">IF($X39="","",IF(ABS($X39)&gt;=Thresholds!$B$4,"MATERIAL","within"))</f>
        <v/>
      </c>
      <c r="AA39" s="28"/>
      <c r="AB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18"/>
      <c r="G40" s="5"/>
      <c r="H40" s="5"/>
      <c r="I40" s="5"/>
      <c r="J40" s="28"/>
      <c r="K40" s="28"/>
      <c r="L40" s="5"/>
      <c r="M40" s="5"/>
      <c r="N40" s="5"/>
      <c r="O40" s="28"/>
      <c r="P40" s="5"/>
      <c r="Q40" s="28"/>
      <c r="R40" s="28"/>
      <c r="S40" s="32" t="str">
        <f aca="false">IF(OR($Q40="",$R40="",$R40=0),"",$Q40/$R40)</f>
        <v/>
      </c>
      <c r="T40" s="28"/>
      <c r="U40" s="28"/>
      <c r="V40" s="5"/>
      <c r="W40" s="38" t="str">
        <f aca="false">IF(OR($T40="",$J40=""),"",$T40-$J40)</f>
        <v/>
      </c>
      <c r="X40" s="38" t="str">
        <f aca="false">IF(OR($T40="",$J40="",$O40=""),"",$T40-$J40-$O40)</f>
        <v/>
      </c>
      <c r="Y40" s="32" t="str">
        <f aca="false">IF(OR($T40="",$J40="",$O40="",$J40=0),"",($T40-$J40-$O40)/$J40)</f>
        <v/>
      </c>
      <c r="Z40" s="7" t="str">
        <f aca="false">IF($X40="","",IF(ABS($X40)&gt;=Thresholds!$B$4,"MATERIAL","within"))</f>
        <v/>
      </c>
      <c r="AA40" s="28"/>
      <c r="AB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18"/>
      <c r="G41" s="5"/>
      <c r="H41" s="5"/>
      <c r="I41" s="5"/>
      <c r="J41" s="28"/>
      <c r="K41" s="28"/>
      <c r="L41" s="5"/>
      <c r="M41" s="5"/>
      <c r="N41" s="5"/>
      <c r="O41" s="28"/>
      <c r="P41" s="5"/>
      <c r="Q41" s="28"/>
      <c r="R41" s="28"/>
      <c r="S41" s="32" t="str">
        <f aca="false">IF(OR($Q41="",$R41="",$R41=0),"",$Q41/$R41)</f>
        <v/>
      </c>
      <c r="T41" s="28"/>
      <c r="U41" s="28"/>
      <c r="V41" s="5"/>
      <c r="W41" s="38" t="str">
        <f aca="false">IF(OR($T41="",$J41=""),"",$T41-$J41)</f>
        <v/>
      </c>
      <c r="X41" s="38" t="str">
        <f aca="false">IF(OR($T41="",$J41="",$O41=""),"",$T41-$J41-$O41)</f>
        <v/>
      </c>
      <c r="Y41" s="32" t="str">
        <f aca="false">IF(OR($T41="",$J41="",$O41="",$J41=0),"",($T41-$J41-$O41)/$J41)</f>
        <v/>
      </c>
      <c r="Z41" s="7" t="str">
        <f aca="false">IF($X41="","",IF(ABS($X41)&gt;=Thresholds!$B$4,"MATERIAL","within"))</f>
        <v/>
      </c>
      <c r="AA41" s="28"/>
      <c r="AB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18"/>
      <c r="G42" s="5"/>
      <c r="H42" s="5"/>
      <c r="I42" s="5"/>
      <c r="J42" s="28"/>
      <c r="K42" s="28"/>
      <c r="L42" s="5"/>
      <c r="M42" s="5"/>
      <c r="N42" s="5"/>
      <c r="O42" s="28"/>
      <c r="P42" s="5"/>
      <c r="Q42" s="28"/>
      <c r="R42" s="28"/>
      <c r="S42" s="32" t="str">
        <f aca="false">IF(OR($Q42="",$R42="",$R42=0),"",$Q42/$R42)</f>
        <v/>
      </c>
      <c r="T42" s="28"/>
      <c r="U42" s="28"/>
      <c r="V42" s="5"/>
      <c r="W42" s="38" t="str">
        <f aca="false">IF(OR($T42="",$J42=""),"",$T42-$J42)</f>
        <v/>
      </c>
      <c r="X42" s="38" t="str">
        <f aca="false">IF(OR($T42="",$J42="",$O42=""),"",$T42-$J42-$O42)</f>
        <v/>
      </c>
      <c r="Y42" s="32" t="str">
        <f aca="false">IF(OR($T42="",$J42="",$O42="",$J42=0),"",($T42-$J42-$O42)/$J42)</f>
        <v/>
      </c>
      <c r="Z42" s="7" t="str">
        <f aca="false">IF($X42="","",IF(ABS($X42)&gt;=Thresholds!$B$4,"MATERIAL","within"))</f>
        <v/>
      </c>
      <c r="AA42" s="28"/>
      <c r="AB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18"/>
      <c r="G43" s="5"/>
      <c r="H43" s="5"/>
      <c r="I43" s="5"/>
      <c r="J43" s="28"/>
      <c r="K43" s="28"/>
      <c r="L43" s="5"/>
      <c r="M43" s="5"/>
      <c r="N43" s="5"/>
      <c r="O43" s="28"/>
      <c r="P43" s="5"/>
      <c r="Q43" s="28"/>
      <c r="R43" s="28"/>
      <c r="S43" s="32" t="str">
        <f aca="false">IF(OR($Q43="",$R43="",$R43=0),"",$Q43/$R43)</f>
        <v/>
      </c>
      <c r="T43" s="28"/>
      <c r="U43" s="28"/>
      <c r="V43" s="5"/>
      <c r="W43" s="38" t="str">
        <f aca="false">IF(OR($T43="",$J43=""),"",$T43-$J43)</f>
        <v/>
      </c>
      <c r="X43" s="38" t="str">
        <f aca="false">IF(OR($T43="",$J43="",$O43=""),"",$T43-$J43-$O43)</f>
        <v/>
      </c>
      <c r="Y43" s="32" t="str">
        <f aca="false">IF(OR($T43="",$J43="",$O43="",$J43=0),"",($T43-$J43-$O43)/$J43)</f>
        <v/>
      </c>
      <c r="Z43" s="7" t="str">
        <f aca="false">IF($X43="","",IF(ABS($X43)&gt;=Thresholds!$B$4,"MATERIAL","within"))</f>
        <v/>
      </c>
      <c r="AA43" s="28"/>
      <c r="AB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18"/>
      <c r="G44" s="5"/>
      <c r="H44" s="5"/>
      <c r="I44" s="5"/>
      <c r="J44" s="28"/>
      <c r="K44" s="28"/>
      <c r="L44" s="5"/>
      <c r="M44" s="5"/>
      <c r="N44" s="5"/>
      <c r="O44" s="28"/>
      <c r="P44" s="5"/>
      <c r="Q44" s="28"/>
      <c r="R44" s="28"/>
      <c r="S44" s="32" t="str">
        <f aca="false">IF(OR($Q44="",$R44="",$R44=0),"",$Q44/$R44)</f>
        <v/>
      </c>
      <c r="T44" s="28"/>
      <c r="U44" s="28"/>
      <c r="V44" s="5"/>
      <c r="W44" s="38" t="str">
        <f aca="false">IF(OR($T44="",$J44=""),"",$T44-$J44)</f>
        <v/>
      </c>
      <c r="X44" s="38" t="str">
        <f aca="false">IF(OR($T44="",$J44="",$O44=""),"",$T44-$J44-$O44)</f>
        <v/>
      </c>
      <c r="Y44" s="32" t="str">
        <f aca="false">IF(OR($T44="",$J44="",$O44="",$J44=0),"",($T44-$J44-$O44)/$J44)</f>
        <v/>
      </c>
      <c r="Z44" s="7" t="str">
        <f aca="false">IF($X44="","",IF(ABS($X44)&gt;=Thresholds!$B$4,"MATERIAL","within"))</f>
        <v/>
      </c>
      <c r="AA44" s="28"/>
      <c r="AB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18"/>
      <c r="G45" s="5"/>
      <c r="H45" s="5"/>
      <c r="I45" s="5"/>
      <c r="J45" s="28"/>
      <c r="K45" s="28"/>
      <c r="L45" s="5"/>
      <c r="M45" s="5"/>
      <c r="N45" s="5"/>
      <c r="O45" s="28"/>
      <c r="P45" s="5"/>
      <c r="Q45" s="28"/>
      <c r="R45" s="28"/>
      <c r="S45" s="32" t="str">
        <f aca="false">IF(OR($Q45="",$R45="",$R45=0),"",$Q45/$R45)</f>
        <v/>
      </c>
      <c r="T45" s="28"/>
      <c r="U45" s="28"/>
      <c r="V45" s="5"/>
      <c r="W45" s="38" t="str">
        <f aca="false">IF(OR($T45="",$J45=""),"",$T45-$J45)</f>
        <v/>
      </c>
      <c r="X45" s="38" t="str">
        <f aca="false">IF(OR($T45="",$J45="",$O45=""),"",$T45-$J45-$O45)</f>
        <v/>
      </c>
      <c r="Y45" s="32" t="str">
        <f aca="false">IF(OR($T45="",$J45="",$O45="",$J45=0),"",($T45-$J45-$O45)/$J45)</f>
        <v/>
      </c>
      <c r="Z45" s="7" t="str">
        <f aca="false">IF($X45="","",IF(ABS($X45)&gt;=Thresholds!$B$4,"MATERIAL","within"))</f>
        <v/>
      </c>
      <c r="AA45" s="28"/>
      <c r="AB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18"/>
      <c r="G46" s="5"/>
      <c r="H46" s="5"/>
      <c r="I46" s="5"/>
      <c r="J46" s="28"/>
      <c r="K46" s="28"/>
      <c r="L46" s="5"/>
      <c r="M46" s="5"/>
      <c r="N46" s="5"/>
      <c r="O46" s="28"/>
      <c r="P46" s="5"/>
      <c r="Q46" s="28"/>
      <c r="R46" s="28"/>
      <c r="S46" s="32" t="str">
        <f aca="false">IF(OR($Q46="",$R46="",$R46=0),"",$Q46/$R46)</f>
        <v/>
      </c>
      <c r="T46" s="28"/>
      <c r="U46" s="28"/>
      <c r="V46" s="5"/>
      <c r="W46" s="38" t="str">
        <f aca="false">IF(OR($T46="",$J46=""),"",$T46-$J46)</f>
        <v/>
      </c>
      <c r="X46" s="38" t="str">
        <f aca="false">IF(OR($T46="",$J46="",$O46=""),"",$T46-$J46-$O46)</f>
        <v/>
      </c>
      <c r="Y46" s="32" t="str">
        <f aca="false">IF(OR($T46="",$J46="",$O46="",$J46=0),"",($T46-$J46-$O46)/$J46)</f>
        <v/>
      </c>
      <c r="Z46" s="7" t="str">
        <f aca="false">IF($X46="","",IF(ABS($X46)&gt;=Thresholds!$B$4,"MATERIAL","within"))</f>
        <v/>
      </c>
      <c r="AA46" s="28"/>
      <c r="AB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18"/>
      <c r="G47" s="5"/>
      <c r="H47" s="5"/>
      <c r="I47" s="5"/>
      <c r="J47" s="28"/>
      <c r="K47" s="28"/>
      <c r="L47" s="5"/>
      <c r="M47" s="5"/>
      <c r="N47" s="5"/>
      <c r="O47" s="28"/>
      <c r="P47" s="5"/>
      <c r="Q47" s="28"/>
      <c r="R47" s="28"/>
      <c r="S47" s="32" t="str">
        <f aca="false">IF(OR($Q47="",$R47="",$R47=0),"",$Q47/$R47)</f>
        <v/>
      </c>
      <c r="T47" s="28"/>
      <c r="U47" s="28"/>
      <c r="V47" s="5"/>
      <c r="W47" s="38" t="str">
        <f aca="false">IF(OR($T47="",$J47=""),"",$T47-$J47)</f>
        <v/>
      </c>
      <c r="X47" s="38" t="str">
        <f aca="false">IF(OR($T47="",$J47="",$O47=""),"",$T47-$J47-$O47)</f>
        <v/>
      </c>
      <c r="Y47" s="32" t="str">
        <f aca="false">IF(OR($T47="",$J47="",$O47="",$J47=0),"",($T47-$J47-$O47)/$J47)</f>
        <v/>
      </c>
      <c r="Z47" s="7" t="str">
        <f aca="false">IF($X47="","",IF(ABS($X47)&gt;=Thresholds!$B$4,"MATERIAL","within"))</f>
        <v/>
      </c>
      <c r="AA47" s="28"/>
      <c r="AB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18"/>
      <c r="G48" s="5"/>
      <c r="H48" s="5"/>
      <c r="I48" s="5"/>
      <c r="J48" s="28"/>
      <c r="K48" s="28"/>
      <c r="L48" s="5"/>
      <c r="M48" s="5"/>
      <c r="N48" s="5"/>
      <c r="O48" s="28"/>
      <c r="P48" s="5"/>
      <c r="Q48" s="28"/>
      <c r="R48" s="28"/>
      <c r="S48" s="32" t="str">
        <f aca="false">IF(OR($Q48="",$R48="",$R48=0),"",$Q48/$R48)</f>
        <v/>
      </c>
      <c r="T48" s="28"/>
      <c r="U48" s="28"/>
      <c r="V48" s="5"/>
      <c r="W48" s="38" t="str">
        <f aca="false">IF(OR($T48="",$J48=""),"",$T48-$J48)</f>
        <v/>
      </c>
      <c r="X48" s="38" t="str">
        <f aca="false">IF(OR($T48="",$J48="",$O48=""),"",$T48-$J48-$O48)</f>
        <v/>
      </c>
      <c r="Y48" s="32" t="str">
        <f aca="false">IF(OR($T48="",$J48="",$O48="",$J48=0),"",($T48-$J48-$O48)/$J48)</f>
        <v/>
      </c>
      <c r="Z48" s="7" t="str">
        <f aca="false">IF($X48="","",IF(ABS($X48)&gt;=Thresholds!$B$4,"MATERIAL","within"))</f>
        <v/>
      </c>
      <c r="AA48" s="28"/>
      <c r="AB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18"/>
      <c r="G49" s="5"/>
      <c r="H49" s="5"/>
      <c r="I49" s="5"/>
      <c r="J49" s="28"/>
      <c r="K49" s="28"/>
      <c r="L49" s="5"/>
      <c r="M49" s="5"/>
      <c r="N49" s="5"/>
      <c r="O49" s="28"/>
      <c r="P49" s="5"/>
      <c r="Q49" s="28"/>
      <c r="R49" s="28"/>
      <c r="S49" s="32" t="str">
        <f aca="false">IF(OR($Q49="",$R49="",$R49=0),"",$Q49/$R49)</f>
        <v/>
      </c>
      <c r="T49" s="28"/>
      <c r="U49" s="28"/>
      <c r="V49" s="5"/>
      <c r="W49" s="38" t="str">
        <f aca="false">IF(OR($T49="",$J49=""),"",$T49-$J49)</f>
        <v/>
      </c>
      <c r="X49" s="38" t="str">
        <f aca="false">IF(OR($T49="",$J49="",$O49=""),"",$T49-$J49-$O49)</f>
        <v/>
      </c>
      <c r="Y49" s="32" t="str">
        <f aca="false">IF(OR($T49="",$J49="",$O49="",$J49=0),"",($T49-$J49-$O49)/$J49)</f>
        <v/>
      </c>
      <c r="Z49" s="7" t="str">
        <f aca="false">IF($X49="","",IF(ABS($X49)&gt;=Thresholds!$B$4,"MATERIAL","within"))</f>
        <v/>
      </c>
      <c r="AA49" s="28"/>
      <c r="AB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18"/>
      <c r="G50" s="5"/>
      <c r="H50" s="5"/>
      <c r="I50" s="5"/>
      <c r="J50" s="28"/>
      <c r="K50" s="28"/>
      <c r="L50" s="5"/>
      <c r="M50" s="5"/>
      <c r="N50" s="5"/>
      <c r="O50" s="28"/>
      <c r="P50" s="5"/>
      <c r="Q50" s="28"/>
      <c r="R50" s="28"/>
      <c r="S50" s="32" t="str">
        <f aca="false">IF(OR($Q50="",$R50="",$R50=0),"",$Q50/$R50)</f>
        <v/>
      </c>
      <c r="T50" s="28"/>
      <c r="U50" s="28"/>
      <c r="V50" s="5"/>
      <c r="W50" s="38" t="str">
        <f aca="false">IF(OR($T50="",$J50=""),"",$T50-$J50)</f>
        <v/>
      </c>
      <c r="X50" s="38" t="str">
        <f aca="false">IF(OR($T50="",$J50="",$O50=""),"",$T50-$J50-$O50)</f>
        <v/>
      </c>
      <c r="Y50" s="32" t="str">
        <f aca="false">IF(OR($T50="",$J50="",$O50="",$J50=0),"",($T50-$J50-$O50)/$J50)</f>
        <v/>
      </c>
      <c r="Z50" s="7" t="str">
        <f aca="false">IF($X50="","",IF(ABS($X50)&gt;=Thresholds!$B$4,"MATERIAL","within"))</f>
        <v/>
      </c>
      <c r="AA50" s="28"/>
      <c r="AB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18"/>
      <c r="G51" s="5"/>
      <c r="H51" s="5"/>
      <c r="I51" s="5"/>
      <c r="J51" s="28"/>
      <c r="K51" s="28"/>
      <c r="L51" s="5"/>
      <c r="M51" s="5"/>
      <c r="N51" s="5"/>
      <c r="O51" s="28"/>
      <c r="P51" s="5"/>
      <c r="Q51" s="28"/>
      <c r="R51" s="28"/>
      <c r="S51" s="32" t="str">
        <f aca="false">IF(OR($Q51="",$R51="",$R51=0),"",$Q51/$R51)</f>
        <v/>
      </c>
      <c r="T51" s="28"/>
      <c r="U51" s="28"/>
      <c r="V51" s="5"/>
      <c r="W51" s="38" t="str">
        <f aca="false">IF(OR($T51="",$J51=""),"",$T51-$J51)</f>
        <v/>
      </c>
      <c r="X51" s="38" t="str">
        <f aca="false">IF(OR($T51="",$J51="",$O51=""),"",$T51-$J51-$O51)</f>
        <v/>
      </c>
      <c r="Y51" s="32" t="str">
        <f aca="false">IF(OR($T51="",$J51="",$O51="",$J51=0),"",($T51-$J51-$O51)/$J51)</f>
        <v/>
      </c>
      <c r="Z51" s="7" t="str">
        <f aca="false">IF($X51="","",IF(ABS($X51)&gt;=Thresholds!$B$4,"MATERIAL","within"))</f>
        <v/>
      </c>
      <c r="AA51" s="28"/>
      <c r="AB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18"/>
      <c r="G52" s="5"/>
      <c r="H52" s="5"/>
      <c r="I52" s="5"/>
      <c r="J52" s="28"/>
      <c r="K52" s="28"/>
      <c r="L52" s="5"/>
      <c r="M52" s="5"/>
      <c r="N52" s="5"/>
      <c r="O52" s="28"/>
      <c r="P52" s="5"/>
      <c r="Q52" s="28"/>
      <c r="R52" s="28"/>
      <c r="S52" s="32" t="str">
        <f aca="false">IF(OR($Q52="",$R52="",$R52=0),"",$Q52/$R52)</f>
        <v/>
      </c>
      <c r="T52" s="28"/>
      <c r="U52" s="28"/>
      <c r="V52" s="5"/>
      <c r="W52" s="38" t="str">
        <f aca="false">IF(OR($T52="",$J52=""),"",$T52-$J52)</f>
        <v/>
      </c>
      <c r="X52" s="38" t="str">
        <f aca="false">IF(OR($T52="",$J52="",$O52=""),"",$T52-$J52-$O52)</f>
        <v/>
      </c>
      <c r="Y52" s="32" t="str">
        <f aca="false">IF(OR($T52="",$J52="",$O52="",$J52=0),"",($T52-$J52-$O52)/$J52)</f>
        <v/>
      </c>
      <c r="Z52" s="7" t="str">
        <f aca="false">IF($X52="","",IF(ABS($X52)&gt;=Thresholds!$B$4,"MATERIAL","within"))</f>
        <v/>
      </c>
      <c r="AA52" s="28"/>
      <c r="AB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18"/>
      <c r="G53" s="5"/>
      <c r="H53" s="5"/>
      <c r="I53" s="5"/>
      <c r="J53" s="28"/>
      <c r="K53" s="28"/>
      <c r="L53" s="5"/>
      <c r="M53" s="5"/>
      <c r="N53" s="5"/>
      <c r="O53" s="28"/>
      <c r="P53" s="5"/>
      <c r="Q53" s="28"/>
      <c r="R53" s="28"/>
      <c r="S53" s="32" t="str">
        <f aca="false">IF(OR($Q53="",$R53="",$R53=0),"",$Q53/$R53)</f>
        <v/>
      </c>
      <c r="T53" s="28"/>
      <c r="U53" s="28"/>
      <c r="V53" s="5"/>
      <c r="W53" s="38" t="str">
        <f aca="false">IF(OR($T53="",$J53=""),"",$T53-$J53)</f>
        <v/>
      </c>
      <c r="X53" s="38" t="str">
        <f aca="false">IF(OR($T53="",$J53="",$O53=""),"",$T53-$J53-$O53)</f>
        <v/>
      </c>
      <c r="Y53" s="32" t="str">
        <f aca="false">IF(OR($T53="",$J53="",$O53="",$J53=0),"",($T53-$J53-$O53)/$J53)</f>
        <v/>
      </c>
      <c r="Z53" s="7" t="str">
        <f aca="false">IF($X53="","",IF(ABS($X53)&gt;=Thresholds!$B$4,"MATERIAL","within"))</f>
        <v/>
      </c>
      <c r="AA53" s="28"/>
      <c r="AB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18"/>
      <c r="G54" s="5"/>
      <c r="H54" s="5"/>
      <c r="I54" s="5"/>
      <c r="J54" s="28"/>
      <c r="K54" s="28"/>
      <c r="L54" s="5"/>
      <c r="M54" s="5"/>
      <c r="N54" s="5"/>
      <c r="O54" s="28"/>
      <c r="P54" s="5"/>
      <c r="Q54" s="28"/>
      <c r="R54" s="28"/>
      <c r="S54" s="32" t="str">
        <f aca="false">IF(OR($Q54="",$R54="",$R54=0),"",$Q54/$R54)</f>
        <v/>
      </c>
      <c r="T54" s="28"/>
      <c r="U54" s="28"/>
      <c r="V54" s="5"/>
      <c r="W54" s="38" t="str">
        <f aca="false">IF(OR($T54="",$J54=""),"",$T54-$J54)</f>
        <v/>
      </c>
      <c r="X54" s="38" t="str">
        <f aca="false">IF(OR($T54="",$J54="",$O54=""),"",$T54-$J54-$O54)</f>
        <v/>
      </c>
      <c r="Y54" s="32" t="str">
        <f aca="false">IF(OR($T54="",$J54="",$O54="",$J54=0),"",($T54-$J54-$O54)/$J54)</f>
        <v/>
      </c>
      <c r="Z54" s="7" t="str">
        <f aca="false">IF($X54="","",IF(ABS($X54)&gt;=Thresholds!$B$4,"MATERIAL","within"))</f>
        <v/>
      </c>
      <c r="AA54" s="28"/>
      <c r="AB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18"/>
      <c r="G55" s="5"/>
      <c r="H55" s="5"/>
      <c r="I55" s="5"/>
      <c r="J55" s="28"/>
      <c r="K55" s="28"/>
      <c r="L55" s="5"/>
      <c r="M55" s="5"/>
      <c r="N55" s="5"/>
      <c r="O55" s="28"/>
      <c r="P55" s="5"/>
      <c r="Q55" s="28"/>
      <c r="R55" s="28"/>
      <c r="S55" s="32" t="str">
        <f aca="false">IF(OR($Q55="",$R55="",$R55=0),"",$Q55/$R55)</f>
        <v/>
      </c>
      <c r="T55" s="28"/>
      <c r="U55" s="28"/>
      <c r="V55" s="5"/>
      <c r="W55" s="38" t="str">
        <f aca="false">IF(OR($T55="",$J55=""),"",$T55-$J55)</f>
        <v/>
      </c>
      <c r="X55" s="38" t="str">
        <f aca="false">IF(OR($T55="",$J55="",$O55=""),"",$T55-$J55-$O55)</f>
        <v/>
      </c>
      <c r="Y55" s="32" t="str">
        <f aca="false">IF(OR($T55="",$J55="",$O55="",$J55=0),"",($T55-$J55-$O55)/$J55)</f>
        <v/>
      </c>
      <c r="Z55" s="7" t="str">
        <f aca="false">IF($X55="","",IF(ABS($X55)&gt;=Thresholds!$B$4,"MATERIAL","within"))</f>
        <v/>
      </c>
      <c r="AA55" s="28"/>
      <c r="AB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18"/>
      <c r="G56" s="5"/>
      <c r="H56" s="5"/>
      <c r="I56" s="5"/>
      <c r="J56" s="28"/>
      <c r="K56" s="28"/>
      <c r="L56" s="5"/>
      <c r="M56" s="5"/>
      <c r="N56" s="5"/>
      <c r="O56" s="28"/>
      <c r="P56" s="5"/>
      <c r="Q56" s="28"/>
      <c r="R56" s="28"/>
      <c r="S56" s="32" t="str">
        <f aca="false">IF(OR($Q56="",$R56="",$R56=0),"",$Q56/$R56)</f>
        <v/>
      </c>
      <c r="T56" s="28"/>
      <c r="U56" s="28"/>
      <c r="V56" s="5"/>
      <c r="W56" s="38" t="str">
        <f aca="false">IF(OR($T56="",$J56=""),"",$T56-$J56)</f>
        <v/>
      </c>
      <c r="X56" s="38" t="str">
        <f aca="false">IF(OR($T56="",$J56="",$O56=""),"",$T56-$J56-$O56)</f>
        <v/>
      </c>
      <c r="Y56" s="32" t="str">
        <f aca="false">IF(OR($T56="",$J56="",$O56="",$J56=0),"",($T56-$J56-$O56)/$J56)</f>
        <v/>
      </c>
      <c r="Z56" s="7" t="str">
        <f aca="false">IF($X56="","",IF(ABS($X56)&gt;=Thresholds!$B$4,"MATERIAL","within"))</f>
        <v/>
      </c>
      <c r="AA56" s="28"/>
      <c r="AB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18"/>
      <c r="G57" s="5"/>
      <c r="H57" s="5"/>
      <c r="I57" s="5"/>
      <c r="J57" s="28"/>
      <c r="K57" s="28"/>
      <c r="L57" s="5"/>
      <c r="M57" s="5"/>
      <c r="N57" s="5"/>
      <c r="O57" s="28"/>
      <c r="P57" s="5"/>
      <c r="Q57" s="28"/>
      <c r="R57" s="28"/>
      <c r="S57" s="32" t="str">
        <f aca="false">IF(OR($Q57="",$R57="",$R57=0),"",$Q57/$R57)</f>
        <v/>
      </c>
      <c r="T57" s="28"/>
      <c r="U57" s="28"/>
      <c r="V57" s="5"/>
      <c r="W57" s="38" t="str">
        <f aca="false">IF(OR($T57="",$J57=""),"",$T57-$J57)</f>
        <v/>
      </c>
      <c r="X57" s="38" t="str">
        <f aca="false">IF(OR($T57="",$J57="",$O57=""),"",$T57-$J57-$O57)</f>
        <v/>
      </c>
      <c r="Y57" s="32" t="str">
        <f aca="false">IF(OR($T57="",$J57="",$O57="",$J57=0),"",($T57-$J57-$O57)/$J57)</f>
        <v/>
      </c>
      <c r="Z57" s="7" t="str">
        <f aca="false">IF($X57="","",IF(ABS($X57)&gt;=Thresholds!$B$4,"MATERIAL","within"))</f>
        <v/>
      </c>
      <c r="AA57" s="28"/>
      <c r="AB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18"/>
      <c r="G58" s="5"/>
      <c r="H58" s="5"/>
      <c r="I58" s="5"/>
      <c r="J58" s="28"/>
      <c r="K58" s="28"/>
      <c r="L58" s="5"/>
      <c r="M58" s="5"/>
      <c r="N58" s="5"/>
      <c r="O58" s="28"/>
      <c r="P58" s="5"/>
      <c r="Q58" s="28"/>
      <c r="R58" s="28"/>
      <c r="S58" s="32" t="str">
        <f aca="false">IF(OR($Q58="",$R58="",$R58=0),"",$Q58/$R58)</f>
        <v/>
      </c>
      <c r="T58" s="28"/>
      <c r="U58" s="28"/>
      <c r="V58" s="5"/>
      <c r="W58" s="38" t="str">
        <f aca="false">IF(OR($T58="",$J58=""),"",$T58-$J58)</f>
        <v/>
      </c>
      <c r="X58" s="38" t="str">
        <f aca="false">IF(OR($T58="",$J58="",$O58=""),"",$T58-$J58-$O58)</f>
        <v/>
      </c>
      <c r="Y58" s="32" t="str">
        <f aca="false">IF(OR($T58="",$J58="",$O58="",$J58=0),"",($T58-$J58-$O58)/$J58)</f>
        <v/>
      </c>
      <c r="Z58" s="7" t="str">
        <f aca="false">IF($X58="","",IF(ABS($X58)&gt;=Thresholds!$B$4,"MATERIAL","within"))</f>
        <v/>
      </c>
      <c r="AA58" s="28"/>
      <c r="AB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18"/>
      <c r="G59" s="5"/>
      <c r="H59" s="5"/>
      <c r="I59" s="5"/>
      <c r="J59" s="28"/>
      <c r="K59" s="28"/>
      <c r="L59" s="5"/>
      <c r="M59" s="5"/>
      <c r="N59" s="5"/>
      <c r="O59" s="28"/>
      <c r="P59" s="5"/>
      <c r="Q59" s="28"/>
      <c r="R59" s="28"/>
      <c r="S59" s="32" t="str">
        <f aca="false">IF(OR($Q59="",$R59="",$R59=0),"",$Q59/$R59)</f>
        <v/>
      </c>
      <c r="T59" s="28"/>
      <c r="U59" s="28"/>
      <c r="V59" s="5"/>
      <c r="W59" s="38" t="str">
        <f aca="false">IF(OR($T59="",$J59=""),"",$T59-$J59)</f>
        <v/>
      </c>
      <c r="X59" s="38" t="str">
        <f aca="false">IF(OR($T59="",$J59="",$O59=""),"",$T59-$J59-$O59)</f>
        <v/>
      </c>
      <c r="Y59" s="32" t="str">
        <f aca="false">IF(OR($T59="",$J59="",$O59="",$J59=0),"",($T59-$J59-$O59)/$J59)</f>
        <v/>
      </c>
      <c r="Z59" s="7" t="str">
        <f aca="false">IF($X59="","",IF(ABS($X59)&gt;=Thresholds!$B$4,"MATERIAL","within"))</f>
        <v/>
      </c>
      <c r="AA59" s="28"/>
      <c r="AB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18"/>
      <c r="G60" s="5"/>
      <c r="H60" s="5"/>
      <c r="I60" s="5"/>
      <c r="J60" s="28"/>
      <c r="K60" s="28"/>
      <c r="L60" s="5"/>
      <c r="M60" s="5"/>
      <c r="N60" s="5"/>
      <c r="O60" s="28"/>
      <c r="P60" s="5"/>
      <c r="Q60" s="28"/>
      <c r="R60" s="28"/>
      <c r="S60" s="32" t="str">
        <f aca="false">IF(OR($Q60="",$R60="",$R60=0),"",$Q60/$R60)</f>
        <v/>
      </c>
      <c r="T60" s="28"/>
      <c r="U60" s="28"/>
      <c r="V60" s="5"/>
      <c r="W60" s="38" t="str">
        <f aca="false">IF(OR($T60="",$J60=""),"",$T60-$J60)</f>
        <v/>
      </c>
      <c r="X60" s="38" t="str">
        <f aca="false">IF(OR($T60="",$J60="",$O60=""),"",$T60-$J60-$O60)</f>
        <v/>
      </c>
      <c r="Y60" s="32" t="str">
        <f aca="false">IF(OR($T60="",$J60="",$O60="",$J60=0),"",($T60-$J60-$O60)/$J60)</f>
        <v/>
      </c>
      <c r="Z60" s="7" t="str">
        <f aca="false">IF($X60="","",IF(ABS($X60)&gt;=Thresholds!$B$4,"MATERIAL","within"))</f>
        <v/>
      </c>
      <c r="AA60" s="28"/>
      <c r="AB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18"/>
      <c r="G61" s="5"/>
      <c r="H61" s="5"/>
      <c r="I61" s="5"/>
      <c r="J61" s="28"/>
      <c r="K61" s="28"/>
      <c r="L61" s="5"/>
      <c r="M61" s="5"/>
      <c r="N61" s="5"/>
      <c r="O61" s="28"/>
      <c r="P61" s="5"/>
      <c r="Q61" s="28"/>
      <c r="R61" s="28"/>
      <c r="S61" s="32" t="str">
        <f aca="false">IF(OR($Q61="",$R61="",$R61=0),"",$Q61/$R61)</f>
        <v/>
      </c>
      <c r="T61" s="28"/>
      <c r="U61" s="28"/>
      <c r="V61" s="5"/>
      <c r="W61" s="38" t="str">
        <f aca="false">IF(OR($T61="",$J61=""),"",$T61-$J61)</f>
        <v/>
      </c>
      <c r="X61" s="38" t="str">
        <f aca="false">IF(OR($T61="",$J61="",$O61=""),"",$T61-$J61-$O61)</f>
        <v/>
      </c>
      <c r="Y61" s="32" t="str">
        <f aca="false">IF(OR($T61="",$J61="",$O61="",$J61=0),"",($T61-$J61-$O61)/$J61)</f>
        <v/>
      </c>
      <c r="Z61" s="7" t="str">
        <f aca="false">IF($X61="","",IF(ABS($X61)&gt;=Thresholds!$B$4,"MATERIAL","within"))</f>
        <v/>
      </c>
      <c r="AA61" s="28"/>
      <c r="AB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18"/>
      <c r="G62" s="5"/>
      <c r="H62" s="5"/>
      <c r="I62" s="5"/>
      <c r="J62" s="28"/>
      <c r="K62" s="28"/>
      <c r="L62" s="5"/>
      <c r="M62" s="5"/>
      <c r="N62" s="5"/>
      <c r="O62" s="28"/>
      <c r="P62" s="5"/>
      <c r="Q62" s="28"/>
      <c r="R62" s="28"/>
      <c r="S62" s="32" t="str">
        <f aca="false">IF(OR($Q62="",$R62="",$R62=0),"",$Q62/$R62)</f>
        <v/>
      </c>
      <c r="T62" s="28"/>
      <c r="U62" s="28"/>
      <c r="V62" s="5"/>
      <c r="W62" s="38" t="str">
        <f aca="false">IF(OR($T62="",$J62=""),"",$T62-$J62)</f>
        <v/>
      </c>
      <c r="X62" s="38" t="str">
        <f aca="false">IF(OR($T62="",$J62="",$O62=""),"",$T62-$J62-$O62)</f>
        <v/>
      </c>
      <c r="Y62" s="32" t="str">
        <f aca="false">IF(OR($T62="",$J62="",$O62="",$J62=0),"",($T62-$J62-$O62)/$J62)</f>
        <v/>
      </c>
      <c r="Z62" s="7" t="str">
        <f aca="false">IF($X62="","",IF(ABS($X62)&gt;=Thresholds!$B$4,"MATERIAL","within"))</f>
        <v/>
      </c>
      <c r="AA62" s="28"/>
      <c r="AB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18"/>
      <c r="G63" s="5"/>
      <c r="H63" s="5"/>
      <c r="I63" s="5"/>
      <c r="J63" s="28"/>
      <c r="K63" s="28"/>
      <c r="L63" s="5"/>
      <c r="M63" s="5"/>
      <c r="N63" s="5"/>
      <c r="O63" s="28"/>
      <c r="P63" s="5"/>
      <c r="Q63" s="28"/>
      <c r="R63" s="28"/>
      <c r="S63" s="32" t="str">
        <f aca="false">IF(OR($Q63="",$R63="",$R63=0),"",$Q63/$R63)</f>
        <v/>
      </c>
      <c r="T63" s="28"/>
      <c r="U63" s="28"/>
      <c r="V63" s="5"/>
      <c r="W63" s="38" t="str">
        <f aca="false">IF(OR($T63="",$J63=""),"",$T63-$J63)</f>
        <v/>
      </c>
      <c r="X63" s="38" t="str">
        <f aca="false">IF(OR($T63="",$J63="",$O63=""),"",$T63-$J63-$O63)</f>
        <v/>
      </c>
      <c r="Y63" s="32" t="str">
        <f aca="false">IF(OR($T63="",$J63="",$O63="",$J63=0),"",($T63-$J63-$O63)/$J63)</f>
        <v/>
      </c>
      <c r="Z63" s="7" t="str">
        <f aca="false">IF($X63="","",IF(ABS($X63)&gt;=Thresholds!$B$4,"MATERIAL","within"))</f>
        <v/>
      </c>
      <c r="AA63" s="28"/>
      <c r="AB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18"/>
      <c r="G64" s="5"/>
      <c r="H64" s="5"/>
      <c r="I64" s="5"/>
      <c r="J64" s="28"/>
      <c r="K64" s="28"/>
      <c r="L64" s="5"/>
      <c r="M64" s="5"/>
      <c r="N64" s="5"/>
      <c r="O64" s="28"/>
      <c r="P64" s="5"/>
      <c r="Q64" s="28"/>
      <c r="R64" s="28"/>
      <c r="S64" s="32" t="str">
        <f aca="false">IF(OR($Q64="",$R64="",$R64=0),"",$Q64/$R64)</f>
        <v/>
      </c>
      <c r="T64" s="28"/>
      <c r="U64" s="28"/>
      <c r="V64" s="5"/>
      <c r="W64" s="38" t="str">
        <f aca="false">IF(OR($T64="",$J64=""),"",$T64-$J64)</f>
        <v/>
      </c>
      <c r="X64" s="38" t="str">
        <f aca="false">IF(OR($T64="",$J64="",$O64=""),"",$T64-$J64-$O64)</f>
        <v/>
      </c>
      <c r="Y64" s="32" t="str">
        <f aca="false">IF(OR($T64="",$J64="",$O64="",$J64=0),"",($T64-$J64-$O64)/$J64)</f>
        <v/>
      </c>
      <c r="Z64" s="7" t="str">
        <f aca="false">IF($X64="","",IF(ABS($X64)&gt;=Thresholds!$B$4,"MATERIAL","within"))</f>
        <v/>
      </c>
      <c r="AA64" s="28"/>
      <c r="AB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18"/>
      <c r="G65" s="5"/>
      <c r="H65" s="5"/>
      <c r="I65" s="5"/>
      <c r="J65" s="28"/>
      <c r="K65" s="28"/>
      <c r="L65" s="5"/>
      <c r="M65" s="5"/>
      <c r="N65" s="5"/>
      <c r="O65" s="28"/>
      <c r="P65" s="5"/>
      <c r="Q65" s="28"/>
      <c r="R65" s="28"/>
      <c r="S65" s="32" t="str">
        <f aca="false">IF(OR($Q65="",$R65="",$R65=0),"",$Q65/$R65)</f>
        <v/>
      </c>
      <c r="T65" s="28"/>
      <c r="U65" s="28"/>
      <c r="V65" s="5"/>
      <c r="W65" s="38" t="str">
        <f aca="false">IF(OR($T65="",$J65=""),"",$T65-$J65)</f>
        <v/>
      </c>
      <c r="X65" s="38" t="str">
        <f aca="false">IF(OR($T65="",$J65="",$O65=""),"",$T65-$J65-$O65)</f>
        <v/>
      </c>
      <c r="Y65" s="32" t="str">
        <f aca="false">IF(OR($T65="",$J65="",$O65="",$J65=0),"",($T65-$J65-$O65)/$J65)</f>
        <v/>
      </c>
      <c r="Z65" s="7" t="str">
        <f aca="false">IF($X65="","",IF(ABS($X65)&gt;=Thresholds!$B$4,"MATERIAL","within"))</f>
        <v/>
      </c>
      <c r="AA65" s="28"/>
      <c r="AB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18"/>
      <c r="G66" s="5"/>
      <c r="H66" s="5"/>
      <c r="I66" s="5"/>
      <c r="J66" s="28"/>
      <c r="K66" s="28"/>
      <c r="L66" s="5"/>
      <c r="M66" s="5"/>
      <c r="N66" s="5"/>
      <c r="O66" s="28"/>
      <c r="P66" s="5"/>
      <c r="Q66" s="28"/>
      <c r="R66" s="28"/>
      <c r="S66" s="32" t="str">
        <f aca="false">IF(OR($Q66="",$R66="",$R66=0),"",$Q66/$R66)</f>
        <v/>
      </c>
      <c r="T66" s="28"/>
      <c r="U66" s="28"/>
      <c r="V66" s="5"/>
      <c r="W66" s="38" t="str">
        <f aca="false">IF(OR($T66="",$J66=""),"",$T66-$J66)</f>
        <v/>
      </c>
      <c r="X66" s="38" t="str">
        <f aca="false">IF(OR($T66="",$J66="",$O66=""),"",$T66-$J66-$O66)</f>
        <v/>
      </c>
      <c r="Y66" s="32" t="str">
        <f aca="false">IF(OR($T66="",$J66="",$O66="",$J66=0),"",($T66-$J66-$O66)/$J66)</f>
        <v/>
      </c>
      <c r="Z66" s="7" t="str">
        <f aca="false">IF($X66="","",IF(ABS($X66)&gt;=Thresholds!$B$4,"MATERIAL","within"))</f>
        <v/>
      </c>
      <c r="AA66" s="28"/>
      <c r="AB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18"/>
      <c r="G67" s="5"/>
      <c r="H67" s="5"/>
      <c r="I67" s="5"/>
      <c r="J67" s="28"/>
      <c r="K67" s="28"/>
      <c r="L67" s="5"/>
      <c r="M67" s="5"/>
      <c r="N67" s="5"/>
      <c r="O67" s="28"/>
      <c r="P67" s="5"/>
      <c r="Q67" s="28"/>
      <c r="R67" s="28"/>
      <c r="S67" s="32" t="str">
        <f aca="false">IF(OR($Q67="",$R67="",$R67=0),"",$Q67/$R67)</f>
        <v/>
      </c>
      <c r="T67" s="28"/>
      <c r="U67" s="28"/>
      <c r="V67" s="5"/>
      <c r="W67" s="38" t="str">
        <f aca="false">IF(OR($T67="",$J67=""),"",$T67-$J67)</f>
        <v/>
      </c>
      <c r="X67" s="38" t="str">
        <f aca="false">IF(OR($T67="",$J67="",$O67=""),"",$T67-$J67-$O67)</f>
        <v/>
      </c>
      <c r="Y67" s="32" t="str">
        <f aca="false">IF(OR($T67="",$J67="",$O67="",$J67=0),"",($T67-$J67-$O67)/$J67)</f>
        <v/>
      </c>
      <c r="Z67" s="7" t="str">
        <f aca="false">IF($X67="","",IF(ABS($X67)&gt;=Thresholds!$B$4,"MATERIAL","within"))</f>
        <v/>
      </c>
      <c r="AA67" s="28"/>
      <c r="AB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18"/>
      <c r="G68" s="5"/>
      <c r="H68" s="5"/>
      <c r="I68" s="5"/>
      <c r="J68" s="28"/>
      <c r="K68" s="28"/>
      <c r="L68" s="5"/>
      <c r="M68" s="5"/>
      <c r="N68" s="5"/>
      <c r="O68" s="28"/>
      <c r="P68" s="5"/>
      <c r="Q68" s="28"/>
      <c r="R68" s="28"/>
      <c r="S68" s="32" t="str">
        <f aca="false">IF(OR($Q68="",$R68="",$R68=0),"",$Q68/$R68)</f>
        <v/>
      </c>
      <c r="T68" s="28"/>
      <c r="U68" s="28"/>
      <c r="V68" s="5"/>
      <c r="W68" s="38" t="str">
        <f aca="false">IF(OR($T68="",$J68=""),"",$T68-$J68)</f>
        <v/>
      </c>
      <c r="X68" s="38" t="str">
        <f aca="false">IF(OR($T68="",$J68="",$O68=""),"",$T68-$J68-$O68)</f>
        <v/>
      </c>
      <c r="Y68" s="32" t="str">
        <f aca="false">IF(OR($T68="",$J68="",$O68="",$J68=0),"",($T68-$J68-$O68)/$J68)</f>
        <v/>
      </c>
      <c r="Z68" s="7" t="str">
        <f aca="false">IF($X68="","",IF(ABS($X68)&gt;=Thresholds!$B$4,"MATERIAL","within"))</f>
        <v/>
      </c>
      <c r="AA68" s="28"/>
      <c r="AB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18"/>
      <c r="G69" s="5"/>
      <c r="H69" s="5"/>
      <c r="I69" s="5"/>
      <c r="J69" s="28"/>
      <c r="K69" s="28"/>
      <c r="L69" s="5"/>
      <c r="M69" s="5"/>
      <c r="N69" s="5"/>
      <c r="O69" s="28"/>
      <c r="P69" s="5"/>
      <c r="Q69" s="28"/>
      <c r="R69" s="28"/>
      <c r="S69" s="32" t="str">
        <f aca="false">IF(OR($Q69="",$R69="",$R69=0),"",$Q69/$R69)</f>
        <v/>
      </c>
      <c r="T69" s="28"/>
      <c r="U69" s="28"/>
      <c r="V69" s="5"/>
      <c r="W69" s="38" t="str">
        <f aca="false">IF(OR($T69="",$J69=""),"",$T69-$J69)</f>
        <v/>
      </c>
      <c r="X69" s="38" t="str">
        <f aca="false">IF(OR($T69="",$J69="",$O69=""),"",$T69-$J69-$O69)</f>
        <v/>
      </c>
      <c r="Y69" s="32" t="str">
        <f aca="false">IF(OR($T69="",$J69="",$O69="",$J69=0),"",($T69-$J69-$O69)/$J69)</f>
        <v/>
      </c>
      <c r="Z69" s="7" t="str">
        <f aca="false">IF($X69="","",IF(ABS($X69)&gt;=Thresholds!$B$4,"MATERIAL","within"))</f>
        <v/>
      </c>
      <c r="AA69" s="28"/>
      <c r="AB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18"/>
      <c r="G70" s="5"/>
      <c r="H70" s="5"/>
      <c r="I70" s="5"/>
      <c r="J70" s="28"/>
      <c r="K70" s="28"/>
      <c r="L70" s="5"/>
      <c r="M70" s="5"/>
      <c r="N70" s="5"/>
      <c r="O70" s="28"/>
      <c r="P70" s="5"/>
      <c r="Q70" s="28"/>
      <c r="R70" s="28"/>
      <c r="S70" s="32" t="str">
        <f aca="false">IF(OR($Q70="",$R70="",$R70=0),"",$Q70/$R70)</f>
        <v/>
      </c>
      <c r="T70" s="28"/>
      <c r="U70" s="28"/>
      <c r="V70" s="5"/>
      <c r="W70" s="38" t="str">
        <f aca="false">IF(OR($T70="",$J70=""),"",$T70-$J70)</f>
        <v/>
      </c>
      <c r="X70" s="38" t="str">
        <f aca="false">IF(OR($T70="",$J70="",$O70=""),"",$T70-$J70-$O70)</f>
        <v/>
      </c>
      <c r="Y70" s="32" t="str">
        <f aca="false">IF(OR($T70="",$J70="",$O70="",$J70=0),"",($T70-$J70-$O70)/$J70)</f>
        <v/>
      </c>
      <c r="Z70" s="7" t="str">
        <f aca="false">IF($X70="","",IF(ABS($X70)&gt;=Thresholds!$B$4,"MATERIAL","within"))</f>
        <v/>
      </c>
      <c r="AA70" s="28"/>
      <c r="AB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18"/>
      <c r="G71" s="5"/>
      <c r="H71" s="5"/>
      <c r="I71" s="5"/>
      <c r="J71" s="28"/>
      <c r="K71" s="28"/>
      <c r="L71" s="5"/>
      <c r="M71" s="5"/>
      <c r="N71" s="5"/>
      <c r="O71" s="28"/>
      <c r="P71" s="5"/>
      <c r="Q71" s="28"/>
      <c r="R71" s="28"/>
      <c r="S71" s="32" t="str">
        <f aca="false">IF(OR($Q71="",$R71="",$R71=0),"",$Q71/$R71)</f>
        <v/>
      </c>
      <c r="T71" s="28"/>
      <c r="U71" s="28"/>
      <c r="V71" s="5"/>
      <c r="W71" s="38" t="str">
        <f aca="false">IF(OR($T71="",$J71=""),"",$T71-$J71)</f>
        <v/>
      </c>
      <c r="X71" s="38" t="str">
        <f aca="false">IF(OR($T71="",$J71="",$O71=""),"",$T71-$J71-$O71)</f>
        <v/>
      </c>
      <c r="Y71" s="32" t="str">
        <f aca="false">IF(OR($T71="",$J71="",$O71="",$J71=0),"",($T71-$J71-$O71)/$J71)</f>
        <v/>
      </c>
      <c r="Z71" s="7" t="str">
        <f aca="false">IF($X71="","",IF(ABS($X71)&gt;=Thresholds!$B$4,"MATERIAL","within"))</f>
        <v/>
      </c>
      <c r="AA71" s="28"/>
      <c r="AB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18"/>
      <c r="G72" s="5"/>
      <c r="H72" s="5"/>
      <c r="I72" s="5"/>
      <c r="J72" s="28"/>
      <c r="K72" s="28"/>
      <c r="L72" s="5"/>
      <c r="M72" s="5"/>
      <c r="N72" s="5"/>
      <c r="O72" s="28"/>
      <c r="P72" s="5"/>
      <c r="Q72" s="28"/>
      <c r="R72" s="28"/>
      <c r="S72" s="32" t="str">
        <f aca="false">IF(OR($Q72="",$R72="",$R72=0),"",$Q72/$R72)</f>
        <v/>
      </c>
      <c r="T72" s="28"/>
      <c r="U72" s="28"/>
      <c r="V72" s="5"/>
      <c r="W72" s="38" t="str">
        <f aca="false">IF(OR($T72="",$J72=""),"",$T72-$J72)</f>
        <v/>
      </c>
      <c r="X72" s="38" t="str">
        <f aca="false">IF(OR($T72="",$J72="",$O72=""),"",$T72-$J72-$O72)</f>
        <v/>
      </c>
      <c r="Y72" s="32" t="str">
        <f aca="false">IF(OR($T72="",$J72="",$O72="",$J72=0),"",($T72-$J72-$O72)/$J72)</f>
        <v/>
      </c>
      <c r="Z72" s="7" t="str">
        <f aca="false">IF($X72="","",IF(ABS($X72)&gt;=Thresholds!$B$4,"MATERIAL","within"))</f>
        <v/>
      </c>
      <c r="AA72" s="28"/>
      <c r="AB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18"/>
      <c r="G73" s="5"/>
      <c r="H73" s="5"/>
      <c r="I73" s="5"/>
      <c r="J73" s="28"/>
      <c r="K73" s="28"/>
      <c r="L73" s="5"/>
      <c r="M73" s="5"/>
      <c r="N73" s="5"/>
      <c r="O73" s="28"/>
      <c r="P73" s="5"/>
      <c r="Q73" s="28"/>
      <c r="R73" s="28"/>
      <c r="S73" s="32" t="str">
        <f aca="false">IF(OR($Q73="",$R73="",$R73=0),"",$Q73/$R73)</f>
        <v/>
      </c>
      <c r="T73" s="28"/>
      <c r="U73" s="28"/>
      <c r="V73" s="5"/>
      <c r="W73" s="38" t="str">
        <f aca="false">IF(OR($T73="",$J73=""),"",$T73-$J73)</f>
        <v/>
      </c>
      <c r="X73" s="38" t="str">
        <f aca="false">IF(OR($T73="",$J73="",$O73=""),"",$T73-$J73-$O73)</f>
        <v/>
      </c>
      <c r="Y73" s="32" t="str">
        <f aca="false">IF(OR($T73="",$J73="",$O73="",$J73=0),"",($T73-$J73-$O73)/$J73)</f>
        <v/>
      </c>
      <c r="Z73" s="7" t="str">
        <f aca="false">IF($X73="","",IF(ABS($X73)&gt;=Thresholds!$B$4,"MATERIAL","within"))</f>
        <v/>
      </c>
      <c r="AA73" s="28"/>
      <c r="AB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18"/>
      <c r="G74" s="5"/>
      <c r="H74" s="5"/>
      <c r="I74" s="5"/>
      <c r="J74" s="28"/>
      <c r="K74" s="28"/>
      <c r="L74" s="5"/>
      <c r="M74" s="5"/>
      <c r="N74" s="5"/>
      <c r="O74" s="28"/>
      <c r="P74" s="5"/>
      <c r="Q74" s="28"/>
      <c r="R74" s="28"/>
      <c r="S74" s="32" t="str">
        <f aca="false">IF(OR($Q74="",$R74="",$R74=0),"",$Q74/$R74)</f>
        <v/>
      </c>
      <c r="T74" s="28"/>
      <c r="U74" s="28"/>
      <c r="V74" s="5"/>
      <c r="W74" s="38" t="str">
        <f aca="false">IF(OR($T74="",$J74=""),"",$T74-$J74)</f>
        <v/>
      </c>
      <c r="X74" s="38" t="str">
        <f aca="false">IF(OR($T74="",$J74="",$O74=""),"",$T74-$J74-$O74)</f>
        <v/>
      </c>
      <c r="Y74" s="32" t="str">
        <f aca="false">IF(OR($T74="",$J74="",$O74="",$J74=0),"",($T74-$J74-$O74)/$J74)</f>
        <v/>
      </c>
      <c r="Z74" s="7" t="str">
        <f aca="false">IF($X74="","",IF(ABS($X74)&gt;=Thresholds!$B$4,"MATERIAL","within"))</f>
        <v/>
      </c>
      <c r="AA74" s="28"/>
      <c r="AB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18"/>
      <c r="G75" s="5"/>
      <c r="H75" s="5"/>
      <c r="I75" s="5"/>
      <c r="J75" s="28"/>
      <c r="K75" s="28"/>
      <c r="L75" s="5"/>
      <c r="M75" s="5"/>
      <c r="N75" s="5"/>
      <c r="O75" s="28"/>
      <c r="P75" s="5"/>
      <c r="Q75" s="28"/>
      <c r="R75" s="28"/>
      <c r="S75" s="32" t="str">
        <f aca="false">IF(OR($Q75="",$R75="",$R75=0),"",$Q75/$R75)</f>
        <v/>
      </c>
      <c r="T75" s="28"/>
      <c r="U75" s="28"/>
      <c r="V75" s="5"/>
      <c r="W75" s="38" t="str">
        <f aca="false">IF(OR($T75="",$J75=""),"",$T75-$J75)</f>
        <v/>
      </c>
      <c r="X75" s="38" t="str">
        <f aca="false">IF(OR($T75="",$J75="",$O75=""),"",$T75-$J75-$O75)</f>
        <v/>
      </c>
      <c r="Y75" s="32" t="str">
        <f aca="false">IF(OR($T75="",$J75="",$O75="",$J75=0),"",($T75-$J75-$O75)/$J75)</f>
        <v/>
      </c>
      <c r="Z75" s="7" t="str">
        <f aca="false">IF($X75="","",IF(ABS($X75)&gt;=Thresholds!$B$4,"MATERIAL","within"))</f>
        <v/>
      </c>
      <c r="AA75" s="28"/>
      <c r="AB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18"/>
      <c r="G76" s="5"/>
      <c r="H76" s="5"/>
      <c r="I76" s="5"/>
      <c r="J76" s="28"/>
      <c r="K76" s="28"/>
      <c r="L76" s="5"/>
      <c r="M76" s="5"/>
      <c r="N76" s="5"/>
      <c r="O76" s="28"/>
      <c r="P76" s="5"/>
      <c r="Q76" s="28"/>
      <c r="R76" s="28"/>
      <c r="S76" s="32" t="str">
        <f aca="false">IF(OR($Q76="",$R76="",$R76=0),"",$Q76/$R76)</f>
        <v/>
      </c>
      <c r="T76" s="28"/>
      <c r="U76" s="28"/>
      <c r="V76" s="5"/>
      <c r="W76" s="38" t="str">
        <f aca="false">IF(OR($T76="",$J76=""),"",$T76-$J76)</f>
        <v/>
      </c>
      <c r="X76" s="38" t="str">
        <f aca="false">IF(OR($T76="",$J76="",$O76=""),"",$T76-$J76-$O76)</f>
        <v/>
      </c>
      <c r="Y76" s="32" t="str">
        <f aca="false">IF(OR($T76="",$J76="",$O76="",$J76=0),"",($T76-$J76-$O76)/$J76)</f>
        <v/>
      </c>
      <c r="Z76" s="7" t="str">
        <f aca="false">IF($X76="","",IF(ABS($X76)&gt;=Thresholds!$B$4,"MATERIAL","within"))</f>
        <v/>
      </c>
      <c r="AA76" s="28"/>
      <c r="AB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18"/>
      <c r="G77" s="5"/>
      <c r="H77" s="5"/>
      <c r="I77" s="5"/>
      <c r="J77" s="28"/>
      <c r="K77" s="28"/>
      <c r="L77" s="5"/>
      <c r="M77" s="5"/>
      <c r="N77" s="5"/>
      <c r="O77" s="28"/>
      <c r="P77" s="5"/>
      <c r="Q77" s="28"/>
      <c r="R77" s="28"/>
      <c r="S77" s="32" t="str">
        <f aca="false">IF(OR($Q77="",$R77="",$R77=0),"",$Q77/$R77)</f>
        <v/>
      </c>
      <c r="T77" s="28"/>
      <c r="U77" s="28"/>
      <c r="V77" s="5"/>
      <c r="W77" s="38" t="str">
        <f aca="false">IF(OR($T77="",$J77=""),"",$T77-$J77)</f>
        <v/>
      </c>
      <c r="X77" s="38" t="str">
        <f aca="false">IF(OR($T77="",$J77="",$O77=""),"",$T77-$J77-$O77)</f>
        <v/>
      </c>
      <c r="Y77" s="32" t="str">
        <f aca="false">IF(OR($T77="",$J77="",$O77="",$J77=0),"",($T77-$J77-$O77)/$J77)</f>
        <v/>
      </c>
      <c r="Z77" s="7" t="str">
        <f aca="false">IF($X77="","",IF(ABS($X77)&gt;=Thresholds!$B$4,"MATERIAL","within"))</f>
        <v/>
      </c>
      <c r="AA77" s="28"/>
      <c r="AB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18"/>
      <c r="G78" s="5"/>
      <c r="H78" s="5"/>
      <c r="I78" s="5"/>
      <c r="J78" s="28"/>
      <c r="K78" s="28"/>
      <c r="L78" s="5"/>
      <c r="M78" s="5"/>
      <c r="N78" s="5"/>
      <c r="O78" s="28"/>
      <c r="P78" s="5"/>
      <c r="Q78" s="28"/>
      <c r="R78" s="28"/>
      <c r="S78" s="32" t="str">
        <f aca="false">IF(OR($Q78="",$R78="",$R78=0),"",$Q78/$R78)</f>
        <v/>
      </c>
      <c r="T78" s="28"/>
      <c r="U78" s="28"/>
      <c r="V78" s="5"/>
      <c r="W78" s="38" t="str">
        <f aca="false">IF(OR($T78="",$J78=""),"",$T78-$J78)</f>
        <v/>
      </c>
      <c r="X78" s="38" t="str">
        <f aca="false">IF(OR($T78="",$J78="",$O78=""),"",$T78-$J78-$O78)</f>
        <v/>
      </c>
      <c r="Y78" s="32" t="str">
        <f aca="false">IF(OR($T78="",$J78="",$O78="",$J78=0),"",($T78-$J78-$O78)/$J78)</f>
        <v/>
      </c>
      <c r="Z78" s="7" t="str">
        <f aca="false">IF($X78="","",IF(ABS($X78)&gt;=Thresholds!$B$4,"MATERIAL","within"))</f>
        <v/>
      </c>
      <c r="AA78" s="28"/>
      <c r="AB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18"/>
      <c r="G79" s="5"/>
      <c r="H79" s="5"/>
      <c r="I79" s="5"/>
      <c r="J79" s="28"/>
      <c r="K79" s="28"/>
      <c r="L79" s="5"/>
      <c r="M79" s="5"/>
      <c r="N79" s="5"/>
      <c r="O79" s="28"/>
      <c r="P79" s="5"/>
      <c r="Q79" s="28"/>
      <c r="R79" s="28"/>
      <c r="S79" s="32" t="str">
        <f aca="false">IF(OR($Q79="",$R79="",$R79=0),"",$Q79/$R79)</f>
        <v/>
      </c>
      <c r="T79" s="28"/>
      <c r="U79" s="28"/>
      <c r="V79" s="5"/>
      <c r="W79" s="38" t="str">
        <f aca="false">IF(OR($T79="",$J79=""),"",$T79-$J79)</f>
        <v/>
      </c>
      <c r="X79" s="38" t="str">
        <f aca="false">IF(OR($T79="",$J79="",$O79=""),"",$T79-$J79-$O79)</f>
        <v/>
      </c>
      <c r="Y79" s="32" t="str">
        <f aca="false">IF(OR($T79="",$J79="",$O79="",$J79=0),"",($T79-$J79-$O79)/$J79)</f>
        <v/>
      </c>
      <c r="Z79" s="7" t="str">
        <f aca="false">IF($X79="","",IF(ABS($X79)&gt;=Thresholds!$B$4,"MATERIAL","within"))</f>
        <v/>
      </c>
      <c r="AA79" s="28"/>
      <c r="AB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18"/>
      <c r="G80" s="5"/>
      <c r="H80" s="5"/>
      <c r="I80" s="5"/>
      <c r="J80" s="28"/>
      <c r="K80" s="28"/>
      <c r="L80" s="5"/>
      <c r="M80" s="5"/>
      <c r="N80" s="5"/>
      <c r="O80" s="28"/>
      <c r="P80" s="5"/>
      <c r="Q80" s="28"/>
      <c r="R80" s="28"/>
      <c r="S80" s="32" t="str">
        <f aca="false">IF(OR($Q80="",$R80="",$R80=0),"",$Q80/$R80)</f>
        <v/>
      </c>
      <c r="T80" s="28"/>
      <c r="U80" s="28"/>
      <c r="V80" s="5"/>
      <c r="W80" s="38" t="str">
        <f aca="false">IF(OR($T80="",$J80=""),"",$T80-$J80)</f>
        <v/>
      </c>
      <c r="X80" s="38" t="str">
        <f aca="false">IF(OR($T80="",$J80="",$O80=""),"",$T80-$J80-$O80)</f>
        <v/>
      </c>
      <c r="Y80" s="32" t="str">
        <f aca="false">IF(OR($T80="",$J80="",$O80="",$J80=0),"",($T80-$J80-$O80)/$J80)</f>
        <v/>
      </c>
      <c r="Z80" s="7" t="str">
        <f aca="false">IF($X80="","",IF(ABS($X80)&gt;=Thresholds!$B$4,"MATERIAL","within"))</f>
        <v/>
      </c>
      <c r="AA80" s="28"/>
      <c r="AB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18"/>
      <c r="G81" s="5"/>
      <c r="H81" s="5"/>
      <c r="I81" s="5"/>
      <c r="J81" s="28"/>
      <c r="K81" s="28"/>
      <c r="L81" s="5"/>
      <c r="M81" s="5"/>
      <c r="N81" s="5"/>
      <c r="O81" s="28"/>
      <c r="P81" s="5"/>
      <c r="Q81" s="28"/>
      <c r="R81" s="28"/>
      <c r="S81" s="32" t="str">
        <f aca="false">IF(OR($Q81="",$R81="",$R81=0),"",$Q81/$R81)</f>
        <v/>
      </c>
      <c r="T81" s="28"/>
      <c r="U81" s="28"/>
      <c r="V81" s="5"/>
      <c r="W81" s="38" t="str">
        <f aca="false">IF(OR($T81="",$J81=""),"",$T81-$J81)</f>
        <v/>
      </c>
      <c r="X81" s="38" t="str">
        <f aca="false">IF(OR($T81="",$J81="",$O81=""),"",$T81-$J81-$O81)</f>
        <v/>
      </c>
      <c r="Y81" s="32" t="str">
        <f aca="false">IF(OR($T81="",$J81="",$O81="",$J81=0),"",($T81-$J81-$O81)/$J81)</f>
        <v/>
      </c>
      <c r="Z81" s="7" t="str">
        <f aca="false">IF($X81="","",IF(ABS($X81)&gt;=Thresholds!$B$4,"MATERIAL","within"))</f>
        <v/>
      </c>
      <c r="AA81" s="28"/>
      <c r="AB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18"/>
      <c r="G82" s="5"/>
      <c r="H82" s="5"/>
      <c r="I82" s="5"/>
      <c r="J82" s="28"/>
      <c r="K82" s="28"/>
      <c r="L82" s="5"/>
      <c r="M82" s="5"/>
      <c r="N82" s="5"/>
      <c r="O82" s="28"/>
      <c r="P82" s="5"/>
      <c r="Q82" s="28"/>
      <c r="R82" s="28"/>
      <c r="S82" s="32" t="str">
        <f aca="false">IF(OR($Q82="",$R82="",$R82=0),"",$Q82/$R82)</f>
        <v/>
      </c>
      <c r="T82" s="28"/>
      <c r="U82" s="28"/>
      <c r="V82" s="5"/>
      <c r="W82" s="38" t="str">
        <f aca="false">IF(OR($T82="",$J82=""),"",$T82-$J82)</f>
        <v/>
      </c>
      <c r="X82" s="38" t="str">
        <f aca="false">IF(OR($T82="",$J82="",$O82=""),"",$T82-$J82-$O82)</f>
        <v/>
      </c>
      <c r="Y82" s="32" t="str">
        <f aca="false">IF(OR($T82="",$J82="",$O82="",$J82=0),"",($T82-$J82-$O82)/$J82)</f>
        <v/>
      </c>
      <c r="Z82" s="7" t="str">
        <f aca="false">IF($X82="","",IF(ABS($X82)&gt;=Thresholds!$B$4,"MATERIAL","within"))</f>
        <v/>
      </c>
      <c r="AA82" s="28"/>
      <c r="AB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18"/>
      <c r="G83" s="5"/>
      <c r="H83" s="5"/>
      <c r="I83" s="5"/>
      <c r="J83" s="28"/>
      <c r="K83" s="28"/>
      <c r="L83" s="5"/>
      <c r="M83" s="5"/>
      <c r="N83" s="5"/>
      <c r="O83" s="28"/>
      <c r="P83" s="5"/>
      <c r="Q83" s="28"/>
      <c r="R83" s="28"/>
      <c r="S83" s="32" t="str">
        <f aca="false">IF(OR($Q83="",$R83="",$R83=0),"",$Q83/$R83)</f>
        <v/>
      </c>
      <c r="T83" s="28"/>
      <c r="U83" s="28"/>
      <c r="V83" s="5"/>
      <c r="W83" s="38" t="str">
        <f aca="false">IF(OR($T83="",$J83=""),"",$T83-$J83)</f>
        <v/>
      </c>
      <c r="X83" s="38" t="str">
        <f aca="false">IF(OR($T83="",$J83="",$O83=""),"",$T83-$J83-$O83)</f>
        <v/>
      </c>
      <c r="Y83" s="32" t="str">
        <f aca="false">IF(OR($T83="",$J83="",$O83="",$J83=0),"",($T83-$J83-$O83)/$J83)</f>
        <v/>
      </c>
      <c r="Z83" s="7" t="str">
        <f aca="false">IF($X83="","",IF(ABS($X83)&gt;=Thresholds!$B$4,"MATERIAL","within"))</f>
        <v/>
      </c>
      <c r="AA83" s="28"/>
      <c r="AB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18"/>
      <c r="G84" s="5"/>
      <c r="H84" s="5"/>
      <c r="I84" s="5"/>
      <c r="J84" s="28"/>
      <c r="K84" s="28"/>
      <c r="L84" s="5"/>
      <c r="M84" s="5"/>
      <c r="N84" s="5"/>
      <c r="O84" s="28"/>
      <c r="P84" s="5"/>
      <c r="Q84" s="28"/>
      <c r="R84" s="28"/>
      <c r="S84" s="32" t="str">
        <f aca="false">IF(OR($Q84="",$R84="",$R84=0),"",$Q84/$R84)</f>
        <v/>
      </c>
      <c r="T84" s="28"/>
      <c r="U84" s="28"/>
      <c r="V84" s="5"/>
      <c r="W84" s="38" t="str">
        <f aca="false">IF(OR($T84="",$J84=""),"",$T84-$J84)</f>
        <v/>
      </c>
      <c r="X84" s="38" t="str">
        <f aca="false">IF(OR($T84="",$J84="",$O84=""),"",$T84-$J84-$O84)</f>
        <v/>
      </c>
      <c r="Y84" s="32" t="str">
        <f aca="false">IF(OR($T84="",$J84="",$O84="",$J84=0),"",($T84-$J84-$O84)/$J84)</f>
        <v/>
      </c>
      <c r="Z84" s="7" t="str">
        <f aca="false">IF($X84="","",IF(ABS($X84)&gt;=Thresholds!$B$4,"MATERIAL","within"))</f>
        <v/>
      </c>
      <c r="AA84" s="28"/>
      <c r="AB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18"/>
      <c r="G85" s="5"/>
      <c r="H85" s="5"/>
      <c r="I85" s="5"/>
      <c r="J85" s="28"/>
      <c r="K85" s="28"/>
      <c r="L85" s="5"/>
      <c r="M85" s="5"/>
      <c r="N85" s="5"/>
      <c r="O85" s="28"/>
      <c r="P85" s="5"/>
      <c r="Q85" s="28"/>
      <c r="R85" s="28"/>
      <c r="S85" s="32" t="str">
        <f aca="false">IF(OR($Q85="",$R85="",$R85=0),"",$Q85/$R85)</f>
        <v/>
      </c>
      <c r="T85" s="28"/>
      <c r="U85" s="28"/>
      <c r="V85" s="5"/>
      <c r="W85" s="38" t="str">
        <f aca="false">IF(OR($T85="",$J85=""),"",$T85-$J85)</f>
        <v/>
      </c>
      <c r="X85" s="38" t="str">
        <f aca="false">IF(OR($T85="",$J85="",$O85=""),"",$T85-$J85-$O85)</f>
        <v/>
      </c>
      <c r="Y85" s="32" t="str">
        <f aca="false">IF(OR($T85="",$J85="",$O85="",$J85=0),"",($T85-$J85-$O85)/$J85)</f>
        <v/>
      </c>
      <c r="Z85" s="7" t="str">
        <f aca="false">IF($X85="","",IF(ABS($X85)&gt;=Thresholds!$B$4,"MATERIAL","within"))</f>
        <v/>
      </c>
      <c r="AA85" s="28"/>
      <c r="AB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18"/>
      <c r="G86" s="5"/>
      <c r="H86" s="5"/>
      <c r="I86" s="5"/>
      <c r="J86" s="28"/>
      <c r="K86" s="28"/>
      <c r="L86" s="5"/>
      <c r="M86" s="5"/>
      <c r="N86" s="5"/>
      <c r="O86" s="28"/>
      <c r="P86" s="5"/>
      <c r="Q86" s="28"/>
      <c r="R86" s="28"/>
      <c r="S86" s="32" t="str">
        <f aca="false">IF(OR($Q86="",$R86="",$R86=0),"",$Q86/$R86)</f>
        <v/>
      </c>
      <c r="T86" s="28"/>
      <c r="U86" s="28"/>
      <c r="V86" s="5"/>
      <c r="W86" s="38" t="str">
        <f aca="false">IF(OR($T86="",$J86=""),"",$T86-$J86)</f>
        <v/>
      </c>
      <c r="X86" s="38" t="str">
        <f aca="false">IF(OR($T86="",$J86="",$O86=""),"",$T86-$J86-$O86)</f>
        <v/>
      </c>
      <c r="Y86" s="32" t="str">
        <f aca="false">IF(OR($T86="",$J86="",$O86="",$J86=0),"",($T86-$J86-$O86)/$J86)</f>
        <v/>
      </c>
      <c r="Z86" s="7" t="str">
        <f aca="false">IF($X86="","",IF(ABS($X86)&gt;=Thresholds!$B$4,"MATERIAL","within"))</f>
        <v/>
      </c>
      <c r="AA86" s="28"/>
      <c r="AB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18"/>
      <c r="G87" s="5"/>
      <c r="H87" s="5"/>
      <c r="I87" s="5"/>
      <c r="J87" s="28"/>
      <c r="K87" s="28"/>
      <c r="L87" s="5"/>
      <c r="M87" s="5"/>
      <c r="N87" s="5"/>
      <c r="O87" s="28"/>
      <c r="P87" s="5"/>
      <c r="Q87" s="28"/>
      <c r="R87" s="28"/>
      <c r="S87" s="32" t="str">
        <f aca="false">IF(OR($Q87="",$R87="",$R87=0),"",$Q87/$R87)</f>
        <v/>
      </c>
      <c r="T87" s="28"/>
      <c r="U87" s="28"/>
      <c r="V87" s="5"/>
      <c r="W87" s="38" t="str">
        <f aca="false">IF(OR($T87="",$J87=""),"",$T87-$J87)</f>
        <v/>
      </c>
      <c r="X87" s="38" t="str">
        <f aca="false">IF(OR($T87="",$J87="",$O87=""),"",$T87-$J87-$O87)</f>
        <v/>
      </c>
      <c r="Y87" s="32" t="str">
        <f aca="false">IF(OR($T87="",$J87="",$O87="",$J87=0),"",($T87-$J87-$O87)/$J87)</f>
        <v/>
      </c>
      <c r="Z87" s="7" t="str">
        <f aca="false">IF($X87="","",IF(ABS($X87)&gt;=Thresholds!$B$4,"MATERIAL","within"))</f>
        <v/>
      </c>
      <c r="AA87" s="28"/>
      <c r="AB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18"/>
      <c r="G88" s="5"/>
      <c r="H88" s="5"/>
      <c r="I88" s="5"/>
      <c r="J88" s="28"/>
      <c r="K88" s="28"/>
      <c r="L88" s="5"/>
      <c r="M88" s="5"/>
      <c r="N88" s="5"/>
      <c r="O88" s="28"/>
      <c r="P88" s="5"/>
      <c r="Q88" s="28"/>
      <c r="R88" s="28"/>
      <c r="S88" s="32" t="str">
        <f aca="false">IF(OR($Q88="",$R88="",$R88=0),"",$Q88/$R88)</f>
        <v/>
      </c>
      <c r="T88" s="28"/>
      <c r="U88" s="28"/>
      <c r="V88" s="5"/>
      <c r="W88" s="38" t="str">
        <f aca="false">IF(OR($T88="",$J88=""),"",$T88-$J88)</f>
        <v/>
      </c>
      <c r="X88" s="38" t="str">
        <f aca="false">IF(OR($T88="",$J88="",$O88=""),"",$T88-$J88-$O88)</f>
        <v/>
      </c>
      <c r="Y88" s="32" t="str">
        <f aca="false">IF(OR($T88="",$J88="",$O88="",$J88=0),"",($T88-$J88-$O88)/$J88)</f>
        <v/>
      </c>
      <c r="Z88" s="7" t="str">
        <f aca="false">IF($X88="","",IF(ABS($X88)&gt;=Thresholds!$B$4,"MATERIAL","within"))</f>
        <v/>
      </c>
      <c r="AA88" s="28"/>
      <c r="AB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18"/>
      <c r="G89" s="5"/>
      <c r="H89" s="5"/>
      <c r="I89" s="5"/>
      <c r="J89" s="28"/>
      <c r="K89" s="28"/>
      <c r="L89" s="5"/>
      <c r="M89" s="5"/>
      <c r="N89" s="5"/>
      <c r="O89" s="28"/>
      <c r="P89" s="5"/>
      <c r="Q89" s="28"/>
      <c r="R89" s="28"/>
      <c r="S89" s="32" t="str">
        <f aca="false">IF(OR($Q89="",$R89="",$R89=0),"",$Q89/$R89)</f>
        <v/>
      </c>
      <c r="T89" s="28"/>
      <c r="U89" s="28"/>
      <c r="V89" s="5"/>
      <c r="W89" s="38" t="str">
        <f aca="false">IF(OR($T89="",$J89=""),"",$T89-$J89)</f>
        <v/>
      </c>
      <c r="X89" s="38" t="str">
        <f aca="false">IF(OR($T89="",$J89="",$O89=""),"",$T89-$J89-$O89)</f>
        <v/>
      </c>
      <c r="Y89" s="32" t="str">
        <f aca="false">IF(OR($T89="",$J89="",$O89="",$J89=0),"",($T89-$J89-$O89)/$J89)</f>
        <v/>
      </c>
      <c r="Z89" s="7" t="str">
        <f aca="false">IF($X89="","",IF(ABS($X89)&gt;=Thresholds!$B$4,"MATERIAL","within"))</f>
        <v/>
      </c>
      <c r="AA89" s="28"/>
      <c r="AB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18"/>
      <c r="G90" s="5"/>
      <c r="H90" s="5"/>
      <c r="I90" s="5"/>
      <c r="J90" s="28"/>
      <c r="K90" s="28"/>
      <c r="L90" s="5"/>
      <c r="M90" s="5"/>
      <c r="N90" s="5"/>
      <c r="O90" s="28"/>
      <c r="P90" s="5"/>
      <c r="Q90" s="28"/>
      <c r="R90" s="28"/>
      <c r="S90" s="32" t="str">
        <f aca="false">IF(OR($Q90="",$R90="",$R90=0),"",$Q90/$R90)</f>
        <v/>
      </c>
      <c r="T90" s="28"/>
      <c r="U90" s="28"/>
      <c r="V90" s="5"/>
      <c r="W90" s="38" t="str">
        <f aca="false">IF(OR($T90="",$J90=""),"",$T90-$J90)</f>
        <v/>
      </c>
      <c r="X90" s="38" t="str">
        <f aca="false">IF(OR($T90="",$J90="",$O90=""),"",$T90-$J90-$O90)</f>
        <v/>
      </c>
      <c r="Y90" s="32" t="str">
        <f aca="false">IF(OR($T90="",$J90="",$O90="",$J90=0),"",($T90-$J90-$O90)/$J90)</f>
        <v/>
      </c>
      <c r="Z90" s="7" t="str">
        <f aca="false">IF($X90="","",IF(ABS($X90)&gt;=Thresholds!$B$4,"MATERIAL","within"))</f>
        <v/>
      </c>
      <c r="AA90" s="28"/>
      <c r="AB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18"/>
      <c r="G91" s="5"/>
      <c r="H91" s="5"/>
      <c r="I91" s="5"/>
      <c r="J91" s="28"/>
      <c r="K91" s="28"/>
      <c r="L91" s="5"/>
      <c r="M91" s="5"/>
      <c r="N91" s="5"/>
      <c r="O91" s="28"/>
      <c r="P91" s="5"/>
      <c r="Q91" s="28"/>
      <c r="R91" s="28"/>
      <c r="S91" s="32" t="str">
        <f aca="false">IF(OR($Q91="",$R91="",$R91=0),"",$Q91/$R91)</f>
        <v/>
      </c>
      <c r="T91" s="28"/>
      <c r="U91" s="28"/>
      <c r="V91" s="5"/>
      <c r="W91" s="38" t="str">
        <f aca="false">IF(OR($T91="",$J91=""),"",$T91-$J91)</f>
        <v/>
      </c>
      <c r="X91" s="38" t="str">
        <f aca="false">IF(OR($T91="",$J91="",$O91=""),"",$T91-$J91-$O91)</f>
        <v/>
      </c>
      <c r="Y91" s="32" t="str">
        <f aca="false">IF(OR($T91="",$J91="",$O91="",$J91=0),"",($T91-$J91-$O91)/$J91)</f>
        <v/>
      </c>
      <c r="Z91" s="7" t="str">
        <f aca="false">IF($X91="","",IF(ABS($X91)&gt;=Thresholds!$B$4,"MATERIAL","within"))</f>
        <v/>
      </c>
      <c r="AA91" s="28"/>
      <c r="AB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18"/>
      <c r="G92" s="5"/>
      <c r="H92" s="5"/>
      <c r="I92" s="5"/>
      <c r="J92" s="28"/>
      <c r="K92" s="28"/>
      <c r="L92" s="5"/>
      <c r="M92" s="5"/>
      <c r="N92" s="5"/>
      <c r="O92" s="28"/>
      <c r="P92" s="5"/>
      <c r="Q92" s="28"/>
      <c r="R92" s="28"/>
      <c r="S92" s="32" t="str">
        <f aca="false">IF(OR($Q92="",$R92="",$R92=0),"",$Q92/$R92)</f>
        <v/>
      </c>
      <c r="T92" s="28"/>
      <c r="U92" s="28"/>
      <c r="V92" s="5"/>
      <c r="W92" s="38" t="str">
        <f aca="false">IF(OR($T92="",$J92=""),"",$T92-$J92)</f>
        <v/>
      </c>
      <c r="X92" s="38" t="str">
        <f aca="false">IF(OR($T92="",$J92="",$O92=""),"",$T92-$J92-$O92)</f>
        <v/>
      </c>
      <c r="Y92" s="32" t="str">
        <f aca="false">IF(OR($T92="",$J92="",$O92="",$J92=0),"",($T92-$J92-$O92)/$J92)</f>
        <v/>
      </c>
      <c r="Z92" s="7" t="str">
        <f aca="false">IF($X92="","",IF(ABS($X92)&gt;=Thresholds!$B$4,"MATERIAL","within"))</f>
        <v/>
      </c>
      <c r="AA92" s="28"/>
      <c r="AB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18"/>
      <c r="G93" s="5"/>
      <c r="H93" s="5"/>
      <c r="I93" s="5"/>
      <c r="J93" s="28"/>
      <c r="K93" s="28"/>
      <c r="L93" s="5"/>
      <c r="M93" s="5"/>
      <c r="N93" s="5"/>
      <c r="O93" s="28"/>
      <c r="P93" s="5"/>
      <c r="Q93" s="28"/>
      <c r="R93" s="28"/>
      <c r="S93" s="32" t="str">
        <f aca="false">IF(OR($Q93="",$R93="",$R93=0),"",$Q93/$R93)</f>
        <v/>
      </c>
      <c r="T93" s="28"/>
      <c r="U93" s="28"/>
      <c r="V93" s="5"/>
      <c r="W93" s="38" t="str">
        <f aca="false">IF(OR($T93="",$J93=""),"",$T93-$J93)</f>
        <v/>
      </c>
      <c r="X93" s="38" t="str">
        <f aca="false">IF(OR($T93="",$J93="",$O93=""),"",$T93-$J93-$O93)</f>
        <v/>
      </c>
      <c r="Y93" s="32" t="str">
        <f aca="false">IF(OR($T93="",$J93="",$O93="",$J93=0),"",($T93-$J93-$O93)/$J93)</f>
        <v/>
      </c>
      <c r="Z93" s="7" t="str">
        <f aca="false">IF($X93="","",IF(ABS($X93)&gt;=Thresholds!$B$4,"MATERIAL","within"))</f>
        <v/>
      </c>
      <c r="AA93" s="28"/>
      <c r="AB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18"/>
      <c r="G94" s="5"/>
      <c r="H94" s="5"/>
      <c r="I94" s="5"/>
      <c r="J94" s="28"/>
      <c r="K94" s="28"/>
      <c r="L94" s="5"/>
      <c r="M94" s="5"/>
      <c r="N94" s="5"/>
      <c r="O94" s="28"/>
      <c r="P94" s="5"/>
      <c r="Q94" s="28"/>
      <c r="R94" s="28"/>
      <c r="S94" s="32" t="str">
        <f aca="false">IF(OR($Q94="",$R94="",$R94=0),"",$Q94/$R94)</f>
        <v/>
      </c>
      <c r="T94" s="28"/>
      <c r="U94" s="28"/>
      <c r="V94" s="5"/>
      <c r="W94" s="38" t="str">
        <f aca="false">IF(OR($T94="",$J94=""),"",$T94-$J94)</f>
        <v/>
      </c>
      <c r="X94" s="38" t="str">
        <f aca="false">IF(OR($T94="",$J94="",$O94=""),"",$T94-$J94-$O94)</f>
        <v/>
      </c>
      <c r="Y94" s="32" t="str">
        <f aca="false">IF(OR($T94="",$J94="",$O94="",$J94=0),"",($T94-$J94-$O94)/$J94)</f>
        <v/>
      </c>
      <c r="Z94" s="7" t="str">
        <f aca="false">IF($X94="","",IF(ABS($X94)&gt;=Thresholds!$B$4,"MATERIAL","within"))</f>
        <v/>
      </c>
      <c r="AA94" s="28"/>
      <c r="AB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18"/>
      <c r="G95" s="5"/>
      <c r="H95" s="5"/>
      <c r="I95" s="5"/>
      <c r="J95" s="28"/>
      <c r="K95" s="28"/>
      <c r="L95" s="5"/>
      <c r="M95" s="5"/>
      <c r="N95" s="5"/>
      <c r="O95" s="28"/>
      <c r="P95" s="5"/>
      <c r="Q95" s="28"/>
      <c r="R95" s="28"/>
      <c r="S95" s="32" t="str">
        <f aca="false">IF(OR($Q95="",$R95="",$R95=0),"",$Q95/$R95)</f>
        <v/>
      </c>
      <c r="T95" s="28"/>
      <c r="U95" s="28"/>
      <c r="V95" s="5"/>
      <c r="W95" s="38" t="str">
        <f aca="false">IF(OR($T95="",$J95=""),"",$T95-$J95)</f>
        <v/>
      </c>
      <c r="X95" s="38" t="str">
        <f aca="false">IF(OR($T95="",$J95="",$O95=""),"",$T95-$J95-$O95)</f>
        <v/>
      </c>
      <c r="Y95" s="32" t="str">
        <f aca="false">IF(OR($T95="",$J95="",$O95="",$J95=0),"",($T95-$J95-$O95)/$J95)</f>
        <v/>
      </c>
      <c r="Z95" s="7" t="str">
        <f aca="false">IF($X95="","",IF(ABS($X95)&gt;=Thresholds!$B$4,"MATERIAL","within"))</f>
        <v/>
      </c>
      <c r="AA95" s="28"/>
      <c r="AB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18"/>
      <c r="G96" s="5"/>
      <c r="H96" s="5"/>
      <c r="I96" s="5"/>
      <c r="J96" s="28"/>
      <c r="K96" s="28"/>
      <c r="L96" s="5"/>
      <c r="M96" s="5"/>
      <c r="N96" s="5"/>
      <c r="O96" s="28"/>
      <c r="P96" s="5"/>
      <c r="Q96" s="28"/>
      <c r="R96" s="28"/>
      <c r="S96" s="32" t="str">
        <f aca="false">IF(OR($Q96="",$R96="",$R96=0),"",$Q96/$R96)</f>
        <v/>
      </c>
      <c r="T96" s="28"/>
      <c r="U96" s="28"/>
      <c r="V96" s="5"/>
      <c r="W96" s="38" t="str">
        <f aca="false">IF(OR($T96="",$J96=""),"",$T96-$J96)</f>
        <v/>
      </c>
      <c r="X96" s="38" t="str">
        <f aca="false">IF(OR($T96="",$J96="",$O96=""),"",$T96-$J96-$O96)</f>
        <v/>
      </c>
      <c r="Y96" s="32" t="str">
        <f aca="false">IF(OR($T96="",$J96="",$O96="",$J96=0),"",($T96-$J96-$O96)/$J96)</f>
        <v/>
      </c>
      <c r="Z96" s="7" t="str">
        <f aca="false">IF($X96="","",IF(ABS($X96)&gt;=Thresholds!$B$4,"MATERIAL","within"))</f>
        <v/>
      </c>
      <c r="AA96" s="28"/>
      <c r="AB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18"/>
      <c r="G97" s="5"/>
      <c r="H97" s="5"/>
      <c r="I97" s="5"/>
      <c r="J97" s="28"/>
      <c r="K97" s="28"/>
      <c r="L97" s="5"/>
      <c r="M97" s="5"/>
      <c r="N97" s="5"/>
      <c r="O97" s="28"/>
      <c r="P97" s="5"/>
      <c r="Q97" s="28"/>
      <c r="R97" s="28"/>
      <c r="S97" s="32" t="str">
        <f aca="false">IF(OR($Q97="",$R97="",$R97=0),"",$Q97/$R97)</f>
        <v/>
      </c>
      <c r="T97" s="28"/>
      <c r="U97" s="28"/>
      <c r="V97" s="5"/>
      <c r="W97" s="38" t="str">
        <f aca="false">IF(OR($T97="",$J97=""),"",$T97-$J97)</f>
        <v/>
      </c>
      <c r="X97" s="38" t="str">
        <f aca="false">IF(OR($T97="",$J97="",$O97=""),"",$T97-$J97-$O97)</f>
        <v/>
      </c>
      <c r="Y97" s="32" t="str">
        <f aca="false">IF(OR($T97="",$J97="",$O97="",$J97=0),"",($T97-$J97-$O97)/$J97)</f>
        <v/>
      </c>
      <c r="Z97" s="7" t="str">
        <f aca="false">IF($X97="","",IF(ABS($X97)&gt;=Thresholds!$B$4,"MATERIAL","within"))</f>
        <v/>
      </c>
      <c r="AA97" s="28"/>
      <c r="AB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18"/>
      <c r="G98" s="5"/>
      <c r="H98" s="5"/>
      <c r="I98" s="5"/>
      <c r="J98" s="28"/>
      <c r="K98" s="28"/>
      <c r="L98" s="5"/>
      <c r="M98" s="5"/>
      <c r="N98" s="5"/>
      <c r="O98" s="28"/>
      <c r="P98" s="5"/>
      <c r="Q98" s="28"/>
      <c r="R98" s="28"/>
      <c r="S98" s="32" t="str">
        <f aca="false">IF(OR($Q98="",$R98="",$R98=0),"",$Q98/$R98)</f>
        <v/>
      </c>
      <c r="T98" s="28"/>
      <c r="U98" s="28"/>
      <c r="V98" s="5"/>
      <c r="W98" s="38" t="str">
        <f aca="false">IF(OR($T98="",$J98=""),"",$T98-$J98)</f>
        <v/>
      </c>
      <c r="X98" s="38" t="str">
        <f aca="false">IF(OR($T98="",$J98="",$O98=""),"",$T98-$J98-$O98)</f>
        <v/>
      </c>
      <c r="Y98" s="32" t="str">
        <f aca="false">IF(OR($T98="",$J98="",$O98="",$J98=0),"",($T98-$J98-$O98)/$J98)</f>
        <v/>
      </c>
      <c r="Z98" s="7" t="str">
        <f aca="false">IF($X98="","",IF(ABS($X98)&gt;=Thresholds!$B$4,"MATERIAL","within"))</f>
        <v/>
      </c>
      <c r="AA98" s="28"/>
      <c r="AB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18"/>
      <c r="G99" s="5"/>
      <c r="H99" s="5"/>
      <c r="I99" s="5"/>
      <c r="J99" s="28"/>
      <c r="K99" s="28"/>
      <c r="L99" s="5"/>
      <c r="M99" s="5"/>
      <c r="N99" s="5"/>
      <c r="O99" s="28"/>
      <c r="P99" s="5"/>
      <c r="Q99" s="28"/>
      <c r="R99" s="28"/>
      <c r="S99" s="32" t="str">
        <f aca="false">IF(OR($Q99="",$R99="",$R99=0),"",$Q99/$R99)</f>
        <v/>
      </c>
      <c r="T99" s="28"/>
      <c r="U99" s="28"/>
      <c r="V99" s="5"/>
      <c r="W99" s="38" t="str">
        <f aca="false">IF(OR($T99="",$J99=""),"",$T99-$J99)</f>
        <v/>
      </c>
      <c r="X99" s="38" t="str">
        <f aca="false">IF(OR($T99="",$J99="",$O99=""),"",$T99-$J99-$O99)</f>
        <v/>
      </c>
      <c r="Y99" s="32" t="str">
        <f aca="false">IF(OR($T99="",$J99="",$O99="",$J99=0),"",($T99-$J99-$O99)/$J99)</f>
        <v/>
      </c>
      <c r="Z99" s="7" t="str">
        <f aca="false">IF($X99="","",IF(ABS($X99)&gt;=Thresholds!$B$4,"MATERIAL","within"))</f>
        <v/>
      </c>
      <c r="AA99" s="28"/>
      <c r="AB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18"/>
      <c r="G100" s="5"/>
      <c r="H100" s="5"/>
      <c r="I100" s="5"/>
      <c r="J100" s="28"/>
      <c r="K100" s="28"/>
      <c r="L100" s="5"/>
      <c r="M100" s="5"/>
      <c r="N100" s="5"/>
      <c r="O100" s="28"/>
      <c r="P100" s="5"/>
      <c r="Q100" s="28"/>
      <c r="R100" s="28"/>
      <c r="S100" s="32" t="str">
        <f aca="false">IF(OR($Q100="",$R100="",$R100=0),"",$Q100/$R100)</f>
        <v/>
      </c>
      <c r="T100" s="28"/>
      <c r="U100" s="28"/>
      <c r="V100" s="5"/>
      <c r="W100" s="38" t="str">
        <f aca="false">IF(OR($T100="",$J100=""),"",$T100-$J100)</f>
        <v/>
      </c>
      <c r="X100" s="38" t="str">
        <f aca="false">IF(OR($T100="",$J100="",$O100=""),"",$T100-$J100-$O100)</f>
        <v/>
      </c>
      <c r="Y100" s="32" t="str">
        <f aca="false">IF(OR($T100="",$J100="",$O100="",$J100=0),"",($T100-$J100-$O100)/$J100)</f>
        <v/>
      </c>
      <c r="Z100" s="7" t="str">
        <f aca="false">IF($X100="","",IF(ABS($X100)&gt;=Thresholds!$B$4,"MATERIAL","within"))</f>
        <v/>
      </c>
      <c r="AA100" s="28"/>
      <c r="AB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18"/>
      <c r="G101" s="5"/>
      <c r="H101" s="5"/>
      <c r="I101" s="5"/>
      <c r="J101" s="28"/>
      <c r="K101" s="28"/>
      <c r="L101" s="5"/>
      <c r="M101" s="5"/>
      <c r="N101" s="5"/>
      <c r="O101" s="28"/>
      <c r="P101" s="5"/>
      <c r="Q101" s="28"/>
      <c r="R101" s="28"/>
      <c r="S101" s="32" t="str">
        <f aca="false">IF(OR($Q101="",$R101="",$R101=0),"",$Q101/$R101)</f>
        <v/>
      </c>
      <c r="T101" s="28"/>
      <c r="U101" s="28"/>
      <c r="V101" s="5"/>
      <c r="W101" s="38" t="str">
        <f aca="false">IF(OR($T101="",$J101=""),"",$T101-$J101)</f>
        <v/>
      </c>
      <c r="X101" s="38" t="str">
        <f aca="false">IF(OR($T101="",$J101="",$O101=""),"",$T101-$J101-$O101)</f>
        <v/>
      </c>
      <c r="Y101" s="32" t="str">
        <f aca="false">IF(OR($T101="",$J101="",$O101="",$J101=0),"",($T101-$J101-$O101)/$J101)</f>
        <v/>
      </c>
      <c r="Z101" s="7" t="str">
        <f aca="false">IF($X101="","",IF(ABS($X101)&gt;=Thresholds!$B$4,"MATERIAL","within"))</f>
        <v/>
      </c>
      <c r="AA101" s="28"/>
      <c r="AB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18"/>
      <c r="G102" s="5"/>
      <c r="H102" s="5"/>
      <c r="I102" s="5"/>
      <c r="J102" s="28"/>
      <c r="K102" s="28"/>
      <c r="L102" s="5"/>
      <c r="M102" s="5"/>
      <c r="N102" s="5"/>
      <c r="O102" s="28"/>
      <c r="P102" s="5"/>
      <c r="Q102" s="28"/>
      <c r="R102" s="28"/>
      <c r="S102" s="32" t="str">
        <f aca="false">IF(OR($Q102="",$R102="",$R102=0),"",$Q102/$R102)</f>
        <v/>
      </c>
      <c r="T102" s="28"/>
      <c r="U102" s="28"/>
      <c r="V102" s="5"/>
      <c r="W102" s="38" t="str">
        <f aca="false">IF(OR($T102="",$J102=""),"",$T102-$J102)</f>
        <v/>
      </c>
      <c r="X102" s="38" t="str">
        <f aca="false">IF(OR($T102="",$J102="",$O102=""),"",$T102-$J102-$O102)</f>
        <v/>
      </c>
      <c r="Y102" s="32" t="str">
        <f aca="false">IF(OR($T102="",$J102="",$O102="",$J102=0),"",($T102-$J102-$O102)/$J102)</f>
        <v/>
      </c>
      <c r="Z102" s="7" t="str">
        <f aca="false">IF($X102="","",IF(ABS($X102)&gt;=Thresholds!$B$4,"MATERIAL","within"))</f>
        <v/>
      </c>
      <c r="AA102" s="28"/>
      <c r="AB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18"/>
      <c r="G103" s="5"/>
      <c r="H103" s="5"/>
      <c r="I103" s="5"/>
      <c r="J103" s="28"/>
      <c r="K103" s="28"/>
      <c r="L103" s="5"/>
      <c r="M103" s="5"/>
      <c r="N103" s="5"/>
      <c r="O103" s="28"/>
      <c r="P103" s="5"/>
      <c r="Q103" s="28"/>
      <c r="R103" s="28"/>
      <c r="S103" s="32" t="str">
        <f aca="false">IF(OR($Q103="",$R103="",$R103=0),"",$Q103/$R103)</f>
        <v/>
      </c>
      <c r="T103" s="28"/>
      <c r="U103" s="28"/>
      <c r="V103" s="5"/>
      <c r="W103" s="38" t="str">
        <f aca="false">IF(OR($T103="",$J103=""),"",$T103-$J103)</f>
        <v/>
      </c>
      <c r="X103" s="38" t="str">
        <f aca="false">IF(OR($T103="",$J103="",$O103=""),"",$T103-$J103-$O103)</f>
        <v/>
      </c>
      <c r="Y103" s="32" t="str">
        <f aca="false">IF(OR($T103="",$J103="",$O103="",$J103=0),"",($T103-$J103-$O103)/$J103)</f>
        <v/>
      </c>
      <c r="Z103" s="7" t="str">
        <f aca="false">IF($X103="","",IF(ABS($X103)&gt;=Thresholds!$B$4,"MATERIAL","within"))</f>
        <v/>
      </c>
      <c r="AA103" s="28"/>
      <c r="AB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18"/>
      <c r="G104" s="5"/>
      <c r="H104" s="5"/>
      <c r="I104" s="5"/>
      <c r="J104" s="28"/>
      <c r="K104" s="28"/>
      <c r="L104" s="5"/>
      <c r="M104" s="5"/>
      <c r="N104" s="5"/>
      <c r="O104" s="28"/>
      <c r="P104" s="5"/>
      <c r="Q104" s="28"/>
      <c r="R104" s="28"/>
      <c r="S104" s="32" t="str">
        <f aca="false">IF(OR($Q104="",$R104="",$R104=0),"",$Q104/$R104)</f>
        <v/>
      </c>
      <c r="T104" s="28"/>
      <c r="U104" s="28"/>
      <c r="V104" s="5"/>
      <c r="W104" s="38" t="str">
        <f aca="false">IF(OR($T104="",$J104=""),"",$T104-$J104)</f>
        <v/>
      </c>
      <c r="X104" s="38" t="str">
        <f aca="false">IF(OR($T104="",$J104="",$O104=""),"",$T104-$J104-$O104)</f>
        <v/>
      </c>
      <c r="Y104" s="32" t="str">
        <f aca="false">IF(OR($T104="",$J104="",$O104="",$J104=0),"",($T104-$J104-$O104)/$J104)</f>
        <v/>
      </c>
      <c r="Z104" s="7" t="str">
        <f aca="false">IF($X104="","",IF(ABS($X104)&gt;=Thresholds!$B$4,"MATERIAL","within"))</f>
        <v/>
      </c>
      <c r="AA104" s="28"/>
      <c r="AB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18"/>
      <c r="G105" s="5"/>
      <c r="H105" s="5"/>
      <c r="I105" s="5"/>
      <c r="J105" s="28"/>
      <c r="K105" s="28"/>
      <c r="L105" s="5"/>
      <c r="M105" s="5"/>
      <c r="N105" s="5"/>
      <c r="O105" s="28"/>
      <c r="P105" s="5"/>
      <c r="Q105" s="28"/>
      <c r="R105" s="28"/>
      <c r="S105" s="32" t="str">
        <f aca="false">IF(OR($Q105="",$R105="",$R105=0),"",$Q105/$R105)</f>
        <v/>
      </c>
      <c r="T105" s="28"/>
      <c r="U105" s="28"/>
      <c r="V105" s="5"/>
      <c r="W105" s="38" t="str">
        <f aca="false">IF(OR($T105="",$J105=""),"",$T105-$J105)</f>
        <v/>
      </c>
      <c r="X105" s="38" t="str">
        <f aca="false">IF(OR($T105="",$J105="",$O105=""),"",$T105-$J105-$O105)</f>
        <v/>
      </c>
      <c r="Y105" s="32" t="str">
        <f aca="false">IF(OR($T105="",$J105="",$O105="",$J105=0),"",($T105-$J105-$O105)/$J105)</f>
        <v/>
      </c>
      <c r="Z105" s="7" t="str">
        <f aca="false">IF($X105="","",IF(ABS($X105)&gt;=Thresholds!$B$4,"MATERIAL","within"))</f>
        <v/>
      </c>
      <c r="AA105" s="28"/>
      <c r="AB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18"/>
      <c r="G106" s="5"/>
      <c r="H106" s="5"/>
      <c r="I106" s="5"/>
      <c r="J106" s="28"/>
      <c r="K106" s="28"/>
      <c r="L106" s="5"/>
      <c r="M106" s="5"/>
      <c r="N106" s="5"/>
      <c r="O106" s="28"/>
      <c r="P106" s="5"/>
      <c r="Q106" s="28"/>
      <c r="R106" s="28"/>
      <c r="S106" s="32" t="str">
        <f aca="false">IF(OR($Q106="",$R106="",$R106=0),"",$Q106/$R106)</f>
        <v/>
      </c>
      <c r="T106" s="28"/>
      <c r="U106" s="28"/>
      <c r="V106" s="5"/>
      <c r="W106" s="38" t="str">
        <f aca="false">IF(OR($T106="",$J106=""),"",$T106-$J106)</f>
        <v/>
      </c>
      <c r="X106" s="38" t="str">
        <f aca="false">IF(OR($T106="",$J106="",$O106=""),"",$T106-$J106-$O106)</f>
        <v/>
      </c>
      <c r="Y106" s="32" t="str">
        <f aca="false">IF(OR($T106="",$J106="",$O106="",$J106=0),"",($T106-$J106-$O106)/$J106)</f>
        <v/>
      </c>
      <c r="Z106" s="7" t="str">
        <f aca="false">IF($X106="","",IF(ABS($X106)&gt;=Thresholds!$B$4,"MATERIAL","within"))</f>
        <v/>
      </c>
      <c r="AA106" s="28"/>
      <c r="AB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18"/>
      <c r="G107" s="5"/>
      <c r="H107" s="5"/>
      <c r="I107" s="5"/>
      <c r="J107" s="28"/>
      <c r="K107" s="28"/>
      <c r="L107" s="5"/>
      <c r="M107" s="5"/>
      <c r="N107" s="5"/>
      <c r="O107" s="28"/>
      <c r="P107" s="5"/>
      <c r="Q107" s="28"/>
      <c r="R107" s="28"/>
      <c r="S107" s="32" t="str">
        <f aca="false">IF(OR($Q107="",$R107="",$R107=0),"",$Q107/$R107)</f>
        <v/>
      </c>
      <c r="T107" s="28"/>
      <c r="U107" s="28"/>
      <c r="V107" s="5"/>
      <c r="W107" s="38" t="str">
        <f aca="false">IF(OR($T107="",$J107=""),"",$T107-$J107)</f>
        <v/>
      </c>
      <c r="X107" s="38" t="str">
        <f aca="false">IF(OR($T107="",$J107="",$O107=""),"",$T107-$J107-$O107)</f>
        <v/>
      </c>
      <c r="Y107" s="32" t="str">
        <f aca="false">IF(OR($T107="",$J107="",$O107="",$J107=0),"",($T107-$J107-$O107)/$J107)</f>
        <v/>
      </c>
      <c r="Z107" s="7" t="str">
        <f aca="false">IF($X107="","",IF(ABS($X107)&gt;=Thresholds!$B$4,"MATERIAL","within"))</f>
        <v/>
      </c>
      <c r="AA107" s="28"/>
      <c r="AB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18"/>
      <c r="G108" s="5"/>
      <c r="H108" s="5"/>
      <c r="I108" s="5"/>
      <c r="J108" s="28"/>
      <c r="K108" s="28"/>
      <c r="L108" s="5"/>
      <c r="M108" s="5"/>
      <c r="N108" s="5"/>
      <c r="O108" s="28"/>
      <c r="P108" s="5"/>
      <c r="Q108" s="28"/>
      <c r="R108" s="28"/>
      <c r="S108" s="32" t="str">
        <f aca="false">IF(OR($Q108="",$R108="",$R108=0),"",$Q108/$R108)</f>
        <v/>
      </c>
      <c r="T108" s="28"/>
      <c r="U108" s="28"/>
      <c r="V108" s="5"/>
      <c r="W108" s="38" t="str">
        <f aca="false">IF(OR($T108="",$J108=""),"",$T108-$J108)</f>
        <v/>
      </c>
      <c r="X108" s="38" t="str">
        <f aca="false">IF(OR($T108="",$J108="",$O108=""),"",$T108-$J108-$O108)</f>
        <v/>
      </c>
      <c r="Y108" s="32" t="str">
        <f aca="false">IF(OR($T108="",$J108="",$O108="",$J108=0),"",($T108-$J108-$O108)/$J108)</f>
        <v/>
      </c>
      <c r="Z108" s="7" t="str">
        <f aca="false">IF($X108="","",IF(ABS($X108)&gt;=Thresholds!$B$4,"MATERIAL","within"))</f>
        <v/>
      </c>
      <c r="AA108" s="28"/>
      <c r="AB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18"/>
      <c r="G109" s="5"/>
      <c r="H109" s="5"/>
      <c r="I109" s="5"/>
      <c r="J109" s="28"/>
      <c r="K109" s="28"/>
      <c r="L109" s="5"/>
      <c r="M109" s="5"/>
      <c r="N109" s="5"/>
      <c r="O109" s="28"/>
      <c r="P109" s="5"/>
      <c r="Q109" s="28"/>
      <c r="R109" s="28"/>
      <c r="S109" s="32" t="str">
        <f aca="false">IF(OR($Q109="",$R109="",$R109=0),"",$Q109/$R109)</f>
        <v/>
      </c>
      <c r="T109" s="28"/>
      <c r="U109" s="28"/>
      <c r="V109" s="5"/>
      <c r="W109" s="38" t="str">
        <f aca="false">IF(OR($T109="",$J109=""),"",$T109-$J109)</f>
        <v/>
      </c>
      <c r="X109" s="38" t="str">
        <f aca="false">IF(OR($T109="",$J109="",$O109=""),"",$T109-$J109-$O109)</f>
        <v/>
      </c>
      <c r="Y109" s="32" t="str">
        <f aca="false">IF(OR($T109="",$J109="",$O109="",$J109=0),"",($T109-$J109-$O109)/$J109)</f>
        <v/>
      </c>
      <c r="Z109" s="7" t="str">
        <f aca="false">IF($X109="","",IF(ABS($X109)&gt;=Thresholds!$B$4,"MATERIAL","within"))</f>
        <v/>
      </c>
      <c r="AA109" s="28"/>
      <c r="AB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18"/>
      <c r="G110" s="5"/>
      <c r="H110" s="5"/>
      <c r="I110" s="5"/>
      <c r="J110" s="28"/>
      <c r="K110" s="28"/>
      <c r="L110" s="5"/>
      <c r="M110" s="5"/>
      <c r="N110" s="5"/>
      <c r="O110" s="28"/>
      <c r="P110" s="5"/>
      <c r="Q110" s="28"/>
      <c r="R110" s="28"/>
      <c r="S110" s="32" t="str">
        <f aca="false">IF(OR($Q110="",$R110="",$R110=0),"",$Q110/$R110)</f>
        <v/>
      </c>
      <c r="T110" s="28"/>
      <c r="U110" s="28"/>
      <c r="V110" s="5"/>
      <c r="W110" s="38" t="str">
        <f aca="false">IF(OR($T110="",$J110=""),"",$T110-$J110)</f>
        <v/>
      </c>
      <c r="X110" s="38" t="str">
        <f aca="false">IF(OR($T110="",$J110="",$O110=""),"",$T110-$J110-$O110)</f>
        <v/>
      </c>
      <c r="Y110" s="32" t="str">
        <f aca="false">IF(OR($T110="",$J110="",$O110="",$J110=0),"",($T110-$J110-$O110)/$J110)</f>
        <v/>
      </c>
      <c r="Z110" s="7" t="str">
        <f aca="false">IF($X110="","",IF(ABS($X110)&gt;=Thresholds!$B$4,"MATERIAL","within"))</f>
        <v/>
      </c>
      <c r="AA110" s="28"/>
      <c r="AB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18"/>
      <c r="G111" s="5"/>
      <c r="H111" s="5"/>
      <c r="I111" s="5"/>
      <c r="J111" s="28"/>
      <c r="K111" s="28"/>
      <c r="L111" s="5"/>
      <c r="M111" s="5"/>
      <c r="N111" s="5"/>
      <c r="O111" s="28"/>
      <c r="P111" s="5"/>
      <c r="Q111" s="28"/>
      <c r="R111" s="28"/>
      <c r="S111" s="32" t="str">
        <f aca="false">IF(OR($Q111="",$R111="",$R111=0),"",$Q111/$R111)</f>
        <v/>
      </c>
      <c r="T111" s="28"/>
      <c r="U111" s="28"/>
      <c r="V111" s="5"/>
      <c r="W111" s="38" t="str">
        <f aca="false">IF(OR($T111="",$J111=""),"",$T111-$J111)</f>
        <v/>
      </c>
      <c r="X111" s="38" t="str">
        <f aca="false">IF(OR($T111="",$J111="",$O111=""),"",$T111-$J111-$O111)</f>
        <v/>
      </c>
      <c r="Y111" s="32" t="str">
        <f aca="false">IF(OR($T111="",$J111="",$O111="",$J111=0),"",($T111-$J111-$O111)/$J111)</f>
        <v/>
      </c>
      <c r="Z111" s="7" t="str">
        <f aca="false">IF($X111="","",IF(ABS($X111)&gt;=Thresholds!$B$4,"MATERIAL","within"))</f>
        <v/>
      </c>
      <c r="AA111" s="28"/>
      <c r="AB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18"/>
      <c r="G112" s="5"/>
      <c r="H112" s="5"/>
      <c r="I112" s="5"/>
      <c r="J112" s="28"/>
      <c r="K112" s="28"/>
      <c r="L112" s="5"/>
      <c r="M112" s="5"/>
      <c r="N112" s="5"/>
      <c r="O112" s="28"/>
      <c r="P112" s="5"/>
      <c r="Q112" s="28"/>
      <c r="R112" s="28"/>
      <c r="S112" s="32" t="str">
        <f aca="false">IF(OR($Q112="",$R112="",$R112=0),"",$Q112/$R112)</f>
        <v/>
      </c>
      <c r="T112" s="28"/>
      <c r="U112" s="28"/>
      <c r="V112" s="5"/>
      <c r="W112" s="38" t="str">
        <f aca="false">IF(OR($T112="",$J112=""),"",$T112-$J112)</f>
        <v/>
      </c>
      <c r="X112" s="38" t="str">
        <f aca="false">IF(OR($T112="",$J112="",$O112=""),"",$T112-$J112-$O112)</f>
        <v/>
      </c>
      <c r="Y112" s="32" t="str">
        <f aca="false">IF(OR($T112="",$J112="",$O112="",$J112=0),"",($T112-$J112-$O112)/$J112)</f>
        <v/>
      </c>
      <c r="Z112" s="7" t="str">
        <f aca="false">IF($X112="","",IF(ABS($X112)&gt;=Thresholds!$B$4,"MATERIAL","within"))</f>
        <v/>
      </c>
      <c r="AA112" s="28"/>
      <c r="AB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18"/>
      <c r="G113" s="5"/>
      <c r="H113" s="5"/>
      <c r="I113" s="5"/>
      <c r="J113" s="28"/>
      <c r="K113" s="28"/>
      <c r="L113" s="5"/>
      <c r="M113" s="5"/>
      <c r="N113" s="5"/>
      <c r="O113" s="28"/>
      <c r="P113" s="5"/>
      <c r="Q113" s="28"/>
      <c r="R113" s="28"/>
      <c r="S113" s="32" t="str">
        <f aca="false">IF(OR($Q113="",$R113="",$R113=0),"",$Q113/$R113)</f>
        <v/>
      </c>
      <c r="T113" s="28"/>
      <c r="U113" s="28"/>
      <c r="V113" s="5"/>
      <c r="W113" s="38" t="str">
        <f aca="false">IF(OR($T113="",$J113=""),"",$T113-$J113)</f>
        <v/>
      </c>
      <c r="X113" s="38" t="str">
        <f aca="false">IF(OR($T113="",$J113="",$O113=""),"",$T113-$J113-$O113)</f>
        <v/>
      </c>
      <c r="Y113" s="32" t="str">
        <f aca="false">IF(OR($T113="",$J113="",$O113="",$J113=0),"",($T113-$J113-$O113)/$J113)</f>
        <v/>
      </c>
      <c r="Z113" s="7" t="str">
        <f aca="false">IF($X113="","",IF(ABS($X113)&gt;=Thresholds!$B$4,"MATERIAL","within"))</f>
        <v/>
      </c>
      <c r="AA113" s="28"/>
      <c r="AB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18"/>
      <c r="G114" s="5"/>
      <c r="H114" s="5"/>
      <c r="I114" s="5"/>
      <c r="J114" s="28"/>
      <c r="K114" s="28"/>
      <c r="L114" s="5"/>
      <c r="M114" s="5"/>
      <c r="N114" s="5"/>
      <c r="O114" s="28"/>
      <c r="P114" s="5"/>
      <c r="Q114" s="28"/>
      <c r="R114" s="28"/>
      <c r="S114" s="32" t="str">
        <f aca="false">IF(OR($Q114="",$R114="",$R114=0),"",$Q114/$R114)</f>
        <v/>
      </c>
      <c r="T114" s="28"/>
      <c r="U114" s="28"/>
      <c r="V114" s="5"/>
      <c r="W114" s="38" t="str">
        <f aca="false">IF(OR($T114="",$J114=""),"",$T114-$J114)</f>
        <v/>
      </c>
      <c r="X114" s="38" t="str">
        <f aca="false">IF(OR($T114="",$J114="",$O114=""),"",$T114-$J114-$O114)</f>
        <v/>
      </c>
      <c r="Y114" s="32" t="str">
        <f aca="false">IF(OR($T114="",$J114="",$O114="",$J114=0),"",($T114-$J114-$O114)/$J114)</f>
        <v/>
      </c>
      <c r="Z114" s="7" t="str">
        <f aca="false">IF($X114="","",IF(ABS($X114)&gt;=Thresholds!$B$4,"MATERIAL","within"))</f>
        <v/>
      </c>
      <c r="AA114" s="28"/>
      <c r="AB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18"/>
      <c r="G115" s="5"/>
      <c r="H115" s="5"/>
      <c r="I115" s="5"/>
      <c r="J115" s="28"/>
      <c r="K115" s="28"/>
      <c r="L115" s="5"/>
      <c r="M115" s="5"/>
      <c r="N115" s="5"/>
      <c r="O115" s="28"/>
      <c r="P115" s="5"/>
      <c r="Q115" s="28"/>
      <c r="R115" s="28"/>
      <c r="S115" s="32" t="str">
        <f aca="false">IF(OR($Q115="",$R115="",$R115=0),"",$Q115/$R115)</f>
        <v/>
      </c>
      <c r="T115" s="28"/>
      <c r="U115" s="28"/>
      <c r="V115" s="5"/>
      <c r="W115" s="38" t="str">
        <f aca="false">IF(OR($T115="",$J115=""),"",$T115-$J115)</f>
        <v/>
      </c>
      <c r="X115" s="38" t="str">
        <f aca="false">IF(OR($T115="",$J115="",$O115=""),"",$T115-$J115-$O115)</f>
        <v/>
      </c>
      <c r="Y115" s="32" t="str">
        <f aca="false">IF(OR($T115="",$J115="",$O115="",$J115=0),"",($T115-$J115-$O115)/$J115)</f>
        <v/>
      </c>
      <c r="Z115" s="7" t="str">
        <f aca="false">IF($X115="","",IF(ABS($X115)&gt;=Thresholds!$B$4,"MATERIAL","within"))</f>
        <v/>
      </c>
      <c r="AA115" s="28"/>
      <c r="AB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18"/>
      <c r="G116" s="5"/>
      <c r="H116" s="5"/>
      <c r="I116" s="5"/>
      <c r="J116" s="28"/>
      <c r="K116" s="28"/>
      <c r="L116" s="5"/>
      <c r="M116" s="5"/>
      <c r="N116" s="5"/>
      <c r="O116" s="28"/>
      <c r="P116" s="5"/>
      <c r="Q116" s="28"/>
      <c r="R116" s="28"/>
      <c r="S116" s="32" t="str">
        <f aca="false">IF(OR($Q116="",$R116="",$R116=0),"",$Q116/$R116)</f>
        <v/>
      </c>
      <c r="T116" s="28"/>
      <c r="U116" s="28"/>
      <c r="V116" s="5"/>
      <c r="W116" s="38" t="str">
        <f aca="false">IF(OR($T116="",$J116=""),"",$T116-$J116)</f>
        <v/>
      </c>
      <c r="X116" s="38" t="str">
        <f aca="false">IF(OR($T116="",$J116="",$O116=""),"",$T116-$J116-$O116)</f>
        <v/>
      </c>
      <c r="Y116" s="32" t="str">
        <f aca="false">IF(OR($T116="",$J116="",$O116="",$J116=0),"",($T116-$J116-$O116)/$J116)</f>
        <v/>
      </c>
      <c r="Z116" s="7" t="str">
        <f aca="false">IF($X116="","",IF(ABS($X116)&gt;=Thresholds!$B$4,"MATERIAL","within"))</f>
        <v/>
      </c>
      <c r="AA116" s="28"/>
      <c r="AB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18"/>
      <c r="G117" s="5"/>
      <c r="H117" s="5"/>
      <c r="I117" s="5"/>
      <c r="J117" s="28"/>
      <c r="K117" s="28"/>
      <c r="L117" s="5"/>
      <c r="M117" s="5"/>
      <c r="N117" s="5"/>
      <c r="O117" s="28"/>
      <c r="P117" s="5"/>
      <c r="Q117" s="28"/>
      <c r="R117" s="28"/>
      <c r="S117" s="32" t="str">
        <f aca="false">IF(OR($Q117="",$R117="",$R117=0),"",$Q117/$R117)</f>
        <v/>
      </c>
      <c r="T117" s="28"/>
      <c r="U117" s="28"/>
      <c r="V117" s="5"/>
      <c r="W117" s="38" t="str">
        <f aca="false">IF(OR($T117="",$J117=""),"",$T117-$J117)</f>
        <v/>
      </c>
      <c r="X117" s="38" t="str">
        <f aca="false">IF(OR($T117="",$J117="",$O117=""),"",$T117-$J117-$O117)</f>
        <v/>
      </c>
      <c r="Y117" s="32" t="str">
        <f aca="false">IF(OR($T117="",$J117="",$O117="",$J117=0),"",($T117-$J117-$O117)/$J117)</f>
        <v/>
      </c>
      <c r="Z117" s="7" t="str">
        <f aca="false">IF($X117="","",IF(ABS($X117)&gt;=Thresholds!$B$4,"MATERIAL","within"))</f>
        <v/>
      </c>
      <c r="AA117" s="28"/>
      <c r="AB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18"/>
      <c r="G118" s="5"/>
      <c r="H118" s="5"/>
      <c r="I118" s="5"/>
      <c r="J118" s="28"/>
      <c r="K118" s="28"/>
      <c r="L118" s="5"/>
      <c r="M118" s="5"/>
      <c r="N118" s="5"/>
      <c r="O118" s="28"/>
      <c r="P118" s="5"/>
      <c r="Q118" s="28"/>
      <c r="R118" s="28"/>
      <c r="S118" s="32" t="str">
        <f aca="false">IF(OR($Q118="",$R118="",$R118=0),"",$Q118/$R118)</f>
        <v/>
      </c>
      <c r="T118" s="28"/>
      <c r="U118" s="28"/>
      <c r="V118" s="5"/>
      <c r="W118" s="38" t="str">
        <f aca="false">IF(OR($T118="",$J118=""),"",$T118-$J118)</f>
        <v/>
      </c>
      <c r="X118" s="38" t="str">
        <f aca="false">IF(OR($T118="",$J118="",$O118=""),"",$T118-$J118-$O118)</f>
        <v/>
      </c>
      <c r="Y118" s="32" t="str">
        <f aca="false">IF(OR($T118="",$J118="",$O118="",$J118=0),"",($T118-$J118-$O118)/$J118)</f>
        <v/>
      </c>
      <c r="Z118" s="7" t="str">
        <f aca="false">IF($X118="","",IF(ABS($X118)&gt;=Thresholds!$B$4,"MATERIAL","within"))</f>
        <v/>
      </c>
      <c r="AA118" s="28"/>
      <c r="AB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18"/>
      <c r="G119" s="5"/>
      <c r="H119" s="5"/>
      <c r="I119" s="5"/>
      <c r="J119" s="28"/>
      <c r="K119" s="28"/>
      <c r="L119" s="5"/>
      <c r="M119" s="5"/>
      <c r="N119" s="5"/>
      <c r="O119" s="28"/>
      <c r="P119" s="5"/>
      <c r="Q119" s="28"/>
      <c r="R119" s="28"/>
      <c r="S119" s="32" t="str">
        <f aca="false">IF(OR($Q119="",$R119="",$R119=0),"",$Q119/$R119)</f>
        <v/>
      </c>
      <c r="T119" s="28"/>
      <c r="U119" s="28"/>
      <c r="V119" s="5"/>
      <c r="W119" s="38" t="str">
        <f aca="false">IF(OR($T119="",$J119=""),"",$T119-$J119)</f>
        <v/>
      </c>
      <c r="X119" s="38" t="str">
        <f aca="false">IF(OR($T119="",$J119="",$O119=""),"",$T119-$J119-$O119)</f>
        <v/>
      </c>
      <c r="Y119" s="32" t="str">
        <f aca="false">IF(OR($T119="",$J119="",$O119="",$J119=0),"",($T119-$J119-$O119)/$J119)</f>
        <v/>
      </c>
      <c r="Z119" s="7" t="str">
        <f aca="false">IF($X119="","",IF(ABS($X119)&gt;=Thresholds!$B$4,"MATERIAL","within"))</f>
        <v/>
      </c>
      <c r="AA119" s="28"/>
      <c r="AB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18"/>
      <c r="G120" s="5"/>
      <c r="H120" s="5"/>
      <c r="I120" s="5"/>
      <c r="J120" s="28"/>
      <c r="K120" s="28"/>
      <c r="L120" s="5"/>
      <c r="M120" s="5"/>
      <c r="N120" s="5"/>
      <c r="O120" s="28"/>
      <c r="P120" s="5"/>
      <c r="Q120" s="28"/>
      <c r="R120" s="28"/>
      <c r="S120" s="32" t="str">
        <f aca="false">IF(OR($Q120="",$R120="",$R120=0),"",$Q120/$R120)</f>
        <v/>
      </c>
      <c r="T120" s="28"/>
      <c r="U120" s="28"/>
      <c r="V120" s="5"/>
      <c r="W120" s="38" t="str">
        <f aca="false">IF(OR($T120="",$J120=""),"",$T120-$J120)</f>
        <v/>
      </c>
      <c r="X120" s="38" t="str">
        <f aca="false">IF(OR($T120="",$J120="",$O120=""),"",$T120-$J120-$O120)</f>
        <v/>
      </c>
      <c r="Y120" s="32" t="str">
        <f aca="false">IF(OR($T120="",$J120="",$O120="",$J120=0),"",($T120-$J120-$O120)/$J120)</f>
        <v/>
      </c>
      <c r="Z120" s="7" t="str">
        <f aca="false">IF($X120="","",IF(ABS($X120)&gt;=Thresholds!$B$4,"MATERIAL","within"))</f>
        <v/>
      </c>
      <c r="AA120" s="28"/>
      <c r="AB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18"/>
      <c r="G121" s="5"/>
      <c r="H121" s="5"/>
      <c r="I121" s="5"/>
      <c r="J121" s="28"/>
      <c r="K121" s="28"/>
      <c r="L121" s="5"/>
      <c r="M121" s="5"/>
      <c r="N121" s="5"/>
      <c r="O121" s="28"/>
      <c r="P121" s="5"/>
      <c r="Q121" s="28"/>
      <c r="R121" s="28"/>
      <c r="S121" s="32" t="str">
        <f aca="false">IF(OR($Q121="",$R121="",$R121=0),"",$Q121/$R121)</f>
        <v/>
      </c>
      <c r="T121" s="28"/>
      <c r="U121" s="28"/>
      <c r="V121" s="5"/>
      <c r="W121" s="38" t="str">
        <f aca="false">IF(OR($T121="",$J121=""),"",$T121-$J121)</f>
        <v/>
      </c>
      <c r="X121" s="38" t="str">
        <f aca="false">IF(OR($T121="",$J121="",$O121=""),"",$T121-$J121-$O121)</f>
        <v/>
      </c>
      <c r="Y121" s="32" t="str">
        <f aca="false">IF(OR($T121="",$J121="",$O121="",$J121=0),"",($T121-$J121-$O121)/$J121)</f>
        <v/>
      </c>
      <c r="Z121" s="7" t="str">
        <f aca="false">IF($X121="","",IF(ABS($X121)&gt;=Thresholds!$B$4,"MATERIAL","within"))</f>
        <v/>
      </c>
      <c r="AA121" s="28"/>
      <c r="AB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18"/>
      <c r="G122" s="5"/>
      <c r="H122" s="5"/>
      <c r="I122" s="5"/>
      <c r="J122" s="28"/>
      <c r="K122" s="28"/>
      <c r="L122" s="5"/>
      <c r="M122" s="5"/>
      <c r="N122" s="5"/>
      <c r="O122" s="28"/>
      <c r="P122" s="5"/>
      <c r="Q122" s="28"/>
      <c r="R122" s="28"/>
      <c r="S122" s="32" t="str">
        <f aca="false">IF(OR($Q122="",$R122="",$R122=0),"",$Q122/$R122)</f>
        <v/>
      </c>
      <c r="T122" s="28"/>
      <c r="U122" s="28"/>
      <c r="V122" s="5"/>
      <c r="W122" s="38" t="str">
        <f aca="false">IF(OR($T122="",$J122=""),"",$T122-$J122)</f>
        <v/>
      </c>
      <c r="X122" s="38" t="str">
        <f aca="false">IF(OR($T122="",$J122="",$O122=""),"",$T122-$J122-$O122)</f>
        <v/>
      </c>
      <c r="Y122" s="32" t="str">
        <f aca="false">IF(OR($T122="",$J122="",$O122="",$J122=0),"",($T122-$J122-$O122)/$J122)</f>
        <v/>
      </c>
      <c r="Z122" s="7" t="str">
        <f aca="false">IF($X122="","",IF(ABS($X122)&gt;=Thresholds!$B$4,"MATERIAL","within"))</f>
        <v/>
      </c>
      <c r="AA122" s="28"/>
      <c r="AB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18"/>
      <c r="G123" s="5"/>
      <c r="H123" s="5"/>
      <c r="I123" s="5"/>
      <c r="J123" s="28"/>
      <c r="K123" s="28"/>
      <c r="L123" s="5"/>
      <c r="M123" s="5"/>
      <c r="N123" s="5"/>
      <c r="O123" s="28"/>
      <c r="P123" s="5"/>
      <c r="Q123" s="28"/>
      <c r="R123" s="28"/>
      <c r="S123" s="32" t="str">
        <f aca="false">IF(OR($Q123="",$R123="",$R123=0),"",$Q123/$R123)</f>
        <v/>
      </c>
      <c r="T123" s="28"/>
      <c r="U123" s="28"/>
      <c r="V123" s="5"/>
      <c r="W123" s="38" t="str">
        <f aca="false">IF(OR($T123="",$J123=""),"",$T123-$J123)</f>
        <v/>
      </c>
      <c r="X123" s="38" t="str">
        <f aca="false">IF(OR($T123="",$J123="",$O123=""),"",$T123-$J123-$O123)</f>
        <v/>
      </c>
      <c r="Y123" s="32" t="str">
        <f aca="false">IF(OR($T123="",$J123="",$O123="",$J123=0),"",($T123-$J123-$O123)/$J123)</f>
        <v/>
      </c>
      <c r="Z123" s="7" t="str">
        <f aca="false">IF($X123="","",IF(ABS($X123)&gt;=Thresholds!$B$4,"MATERIAL","within"))</f>
        <v/>
      </c>
      <c r="AA123" s="28"/>
      <c r="AB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18"/>
      <c r="G124" s="5"/>
      <c r="H124" s="5"/>
      <c r="I124" s="5"/>
      <c r="J124" s="28"/>
      <c r="K124" s="28"/>
      <c r="L124" s="5"/>
      <c r="M124" s="5"/>
      <c r="N124" s="5"/>
      <c r="O124" s="28"/>
      <c r="P124" s="5"/>
      <c r="Q124" s="28"/>
      <c r="R124" s="28"/>
      <c r="S124" s="32" t="str">
        <f aca="false">IF(OR($Q124="",$R124="",$R124=0),"",$Q124/$R124)</f>
        <v/>
      </c>
      <c r="T124" s="28"/>
      <c r="U124" s="28"/>
      <c r="V124" s="5"/>
      <c r="W124" s="38" t="str">
        <f aca="false">IF(OR($T124="",$J124=""),"",$T124-$J124)</f>
        <v/>
      </c>
      <c r="X124" s="38" t="str">
        <f aca="false">IF(OR($T124="",$J124="",$O124=""),"",$T124-$J124-$O124)</f>
        <v/>
      </c>
      <c r="Y124" s="32" t="str">
        <f aca="false">IF(OR($T124="",$J124="",$O124="",$J124=0),"",($T124-$J124-$O124)/$J124)</f>
        <v/>
      </c>
      <c r="Z124" s="7" t="str">
        <f aca="false">IF($X124="","",IF(ABS($X124)&gt;=Thresholds!$B$4,"MATERIAL","within"))</f>
        <v/>
      </c>
      <c r="AA124" s="28"/>
      <c r="AB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18"/>
      <c r="G125" s="5"/>
      <c r="H125" s="5"/>
      <c r="I125" s="5"/>
      <c r="J125" s="28"/>
      <c r="K125" s="28"/>
      <c r="L125" s="5"/>
      <c r="M125" s="5"/>
      <c r="N125" s="5"/>
      <c r="O125" s="28"/>
      <c r="P125" s="5"/>
      <c r="Q125" s="28"/>
      <c r="R125" s="28"/>
      <c r="S125" s="32" t="str">
        <f aca="false">IF(OR($Q125="",$R125="",$R125=0),"",$Q125/$R125)</f>
        <v/>
      </c>
      <c r="T125" s="28"/>
      <c r="U125" s="28"/>
      <c r="V125" s="5"/>
      <c r="W125" s="38" t="str">
        <f aca="false">IF(OR($T125="",$J125=""),"",$T125-$J125)</f>
        <v/>
      </c>
      <c r="X125" s="38" t="str">
        <f aca="false">IF(OR($T125="",$J125="",$O125=""),"",$T125-$J125-$O125)</f>
        <v/>
      </c>
      <c r="Y125" s="32" t="str">
        <f aca="false">IF(OR($T125="",$J125="",$O125="",$J125=0),"",($T125-$J125-$O125)/$J125)</f>
        <v/>
      </c>
      <c r="Z125" s="7" t="str">
        <f aca="false">IF($X125="","",IF(ABS($X125)&gt;=Thresholds!$B$4,"MATERIAL","within"))</f>
        <v/>
      </c>
      <c r="AA125" s="28"/>
      <c r="AB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18"/>
      <c r="G126" s="5"/>
      <c r="H126" s="5"/>
      <c r="I126" s="5"/>
      <c r="J126" s="28"/>
      <c r="K126" s="28"/>
      <c r="L126" s="5"/>
      <c r="M126" s="5"/>
      <c r="N126" s="5"/>
      <c r="O126" s="28"/>
      <c r="P126" s="5"/>
      <c r="Q126" s="28"/>
      <c r="R126" s="28"/>
      <c r="S126" s="32" t="str">
        <f aca="false">IF(OR($Q126="",$R126="",$R126=0),"",$Q126/$R126)</f>
        <v/>
      </c>
      <c r="T126" s="28"/>
      <c r="U126" s="28"/>
      <c r="V126" s="5"/>
      <c r="W126" s="38" t="str">
        <f aca="false">IF(OR($T126="",$J126=""),"",$T126-$J126)</f>
        <v/>
      </c>
      <c r="X126" s="38" t="str">
        <f aca="false">IF(OR($T126="",$J126="",$O126=""),"",$T126-$J126-$O126)</f>
        <v/>
      </c>
      <c r="Y126" s="32" t="str">
        <f aca="false">IF(OR($T126="",$J126="",$O126="",$J126=0),"",($T126-$J126-$O126)/$J126)</f>
        <v/>
      </c>
      <c r="Z126" s="7" t="str">
        <f aca="false">IF($X126="","",IF(ABS($X126)&gt;=Thresholds!$B$4,"MATERIAL","within"))</f>
        <v/>
      </c>
      <c r="AA126" s="28"/>
      <c r="AB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18"/>
      <c r="G127" s="5"/>
      <c r="H127" s="5"/>
      <c r="I127" s="5"/>
      <c r="J127" s="28"/>
      <c r="K127" s="28"/>
      <c r="L127" s="5"/>
      <c r="M127" s="5"/>
      <c r="N127" s="5"/>
      <c r="O127" s="28"/>
      <c r="P127" s="5"/>
      <c r="Q127" s="28"/>
      <c r="R127" s="28"/>
      <c r="S127" s="32" t="str">
        <f aca="false">IF(OR($Q127="",$R127="",$R127=0),"",$Q127/$R127)</f>
        <v/>
      </c>
      <c r="T127" s="28"/>
      <c r="U127" s="28"/>
      <c r="V127" s="5"/>
      <c r="W127" s="38" t="str">
        <f aca="false">IF(OR($T127="",$J127=""),"",$T127-$J127)</f>
        <v/>
      </c>
      <c r="X127" s="38" t="str">
        <f aca="false">IF(OR($T127="",$J127="",$O127=""),"",$T127-$J127-$O127)</f>
        <v/>
      </c>
      <c r="Y127" s="32" t="str">
        <f aca="false">IF(OR($T127="",$J127="",$O127="",$J127=0),"",($T127-$J127-$O127)/$J127)</f>
        <v/>
      </c>
      <c r="Z127" s="7" t="str">
        <f aca="false">IF($X127="","",IF(ABS($X127)&gt;=Thresholds!$B$4,"MATERIAL","within"))</f>
        <v/>
      </c>
      <c r="AA127" s="28"/>
      <c r="AB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18"/>
      <c r="G128" s="5"/>
      <c r="H128" s="5"/>
      <c r="I128" s="5"/>
      <c r="J128" s="28"/>
      <c r="K128" s="28"/>
      <c r="L128" s="5"/>
      <c r="M128" s="5"/>
      <c r="N128" s="5"/>
      <c r="O128" s="28"/>
      <c r="P128" s="5"/>
      <c r="Q128" s="28"/>
      <c r="R128" s="28"/>
      <c r="S128" s="32" t="str">
        <f aca="false">IF(OR($Q128="",$R128="",$R128=0),"",$Q128/$R128)</f>
        <v/>
      </c>
      <c r="T128" s="28"/>
      <c r="U128" s="28"/>
      <c r="V128" s="5"/>
      <c r="W128" s="38" t="str">
        <f aca="false">IF(OR($T128="",$J128=""),"",$T128-$J128)</f>
        <v/>
      </c>
      <c r="X128" s="38" t="str">
        <f aca="false">IF(OR($T128="",$J128="",$O128=""),"",$T128-$J128-$O128)</f>
        <v/>
      </c>
      <c r="Y128" s="32" t="str">
        <f aca="false">IF(OR($T128="",$J128="",$O128="",$J128=0),"",($T128-$J128-$O128)/$J128)</f>
        <v/>
      </c>
      <c r="Z128" s="7" t="str">
        <f aca="false">IF($X128="","",IF(ABS($X128)&gt;=Thresholds!$B$4,"MATERIAL","within"))</f>
        <v/>
      </c>
      <c r="AA128" s="28"/>
      <c r="AB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18"/>
      <c r="G129" s="5"/>
      <c r="H129" s="5"/>
      <c r="I129" s="5"/>
      <c r="J129" s="28"/>
      <c r="K129" s="28"/>
      <c r="L129" s="5"/>
      <c r="M129" s="5"/>
      <c r="N129" s="5"/>
      <c r="O129" s="28"/>
      <c r="P129" s="5"/>
      <c r="Q129" s="28"/>
      <c r="R129" s="28"/>
      <c r="S129" s="32" t="str">
        <f aca="false">IF(OR($Q129="",$R129="",$R129=0),"",$Q129/$R129)</f>
        <v/>
      </c>
      <c r="T129" s="28"/>
      <c r="U129" s="28"/>
      <c r="V129" s="5"/>
      <c r="W129" s="38" t="str">
        <f aca="false">IF(OR($T129="",$J129=""),"",$T129-$J129)</f>
        <v/>
      </c>
      <c r="X129" s="38" t="str">
        <f aca="false">IF(OR($T129="",$J129="",$O129=""),"",$T129-$J129-$O129)</f>
        <v/>
      </c>
      <c r="Y129" s="32" t="str">
        <f aca="false">IF(OR($T129="",$J129="",$O129="",$J129=0),"",($T129-$J129-$O129)/$J129)</f>
        <v/>
      </c>
      <c r="Z129" s="7" t="str">
        <f aca="false">IF($X129="","",IF(ABS($X129)&gt;=Thresholds!$B$4,"MATERIAL","within"))</f>
        <v/>
      </c>
      <c r="AA129" s="28"/>
      <c r="AB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18"/>
      <c r="G130" s="5"/>
      <c r="H130" s="5"/>
      <c r="I130" s="5"/>
      <c r="J130" s="28"/>
      <c r="K130" s="28"/>
      <c r="L130" s="5"/>
      <c r="M130" s="5"/>
      <c r="N130" s="5"/>
      <c r="O130" s="28"/>
      <c r="P130" s="5"/>
      <c r="Q130" s="28"/>
      <c r="R130" s="28"/>
      <c r="S130" s="32" t="str">
        <f aca="false">IF(OR($Q130="",$R130="",$R130=0),"",$Q130/$R130)</f>
        <v/>
      </c>
      <c r="T130" s="28"/>
      <c r="U130" s="28"/>
      <c r="V130" s="5"/>
      <c r="W130" s="38" t="str">
        <f aca="false">IF(OR($T130="",$J130=""),"",$T130-$J130)</f>
        <v/>
      </c>
      <c r="X130" s="38" t="str">
        <f aca="false">IF(OR($T130="",$J130="",$O130=""),"",$T130-$J130-$O130)</f>
        <v/>
      </c>
      <c r="Y130" s="32" t="str">
        <f aca="false">IF(OR($T130="",$J130="",$O130="",$J130=0),"",($T130-$J130-$O130)/$J130)</f>
        <v/>
      </c>
      <c r="Z130" s="7" t="str">
        <f aca="false">IF($X130="","",IF(ABS($X130)&gt;=Thresholds!$B$4,"MATERIAL","within"))</f>
        <v/>
      </c>
      <c r="AA130" s="28"/>
      <c r="AB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18"/>
      <c r="G131" s="5"/>
      <c r="H131" s="5"/>
      <c r="I131" s="5"/>
      <c r="J131" s="28"/>
      <c r="K131" s="28"/>
      <c r="L131" s="5"/>
      <c r="M131" s="5"/>
      <c r="N131" s="5"/>
      <c r="O131" s="28"/>
      <c r="P131" s="5"/>
      <c r="Q131" s="28"/>
      <c r="R131" s="28"/>
      <c r="S131" s="32" t="str">
        <f aca="false">IF(OR($Q131="",$R131="",$R131=0),"",$Q131/$R131)</f>
        <v/>
      </c>
      <c r="T131" s="28"/>
      <c r="U131" s="28"/>
      <c r="V131" s="5"/>
      <c r="W131" s="38" t="str">
        <f aca="false">IF(OR($T131="",$J131=""),"",$T131-$J131)</f>
        <v/>
      </c>
      <c r="X131" s="38" t="str">
        <f aca="false">IF(OR($T131="",$J131="",$O131=""),"",$T131-$J131-$O131)</f>
        <v/>
      </c>
      <c r="Y131" s="32" t="str">
        <f aca="false">IF(OR($T131="",$J131="",$O131="",$J131=0),"",($T131-$J131-$O131)/$J131)</f>
        <v/>
      </c>
      <c r="Z131" s="7" t="str">
        <f aca="false">IF($X131="","",IF(ABS($X131)&gt;=Thresholds!$B$4,"MATERIAL","within"))</f>
        <v/>
      </c>
      <c r="AA131" s="28"/>
      <c r="AB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18"/>
      <c r="G132" s="5"/>
      <c r="H132" s="5"/>
      <c r="I132" s="5"/>
      <c r="J132" s="28"/>
      <c r="K132" s="28"/>
      <c r="L132" s="5"/>
      <c r="M132" s="5"/>
      <c r="N132" s="5"/>
      <c r="O132" s="28"/>
      <c r="P132" s="5"/>
      <c r="Q132" s="28"/>
      <c r="R132" s="28"/>
      <c r="S132" s="32" t="str">
        <f aca="false">IF(OR($Q132="",$R132="",$R132=0),"",$Q132/$R132)</f>
        <v/>
      </c>
      <c r="T132" s="28"/>
      <c r="U132" s="28"/>
      <c r="V132" s="5"/>
      <c r="W132" s="38" t="str">
        <f aca="false">IF(OR($T132="",$J132=""),"",$T132-$J132)</f>
        <v/>
      </c>
      <c r="X132" s="38" t="str">
        <f aca="false">IF(OR($T132="",$J132="",$O132=""),"",$T132-$J132-$O132)</f>
        <v/>
      </c>
      <c r="Y132" s="32" t="str">
        <f aca="false">IF(OR($T132="",$J132="",$O132="",$J132=0),"",($T132-$J132-$O132)/$J132)</f>
        <v/>
      </c>
      <c r="Z132" s="7" t="str">
        <f aca="false">IF($X132="","",IF(ABS($X132)&gt;=Thresholds!$B$4,"MATERIAL","within"))</f>
        <v/>
      </c>
      <c r="AA132" s="28"/>
      <c r="AB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18"/>
      <c r="G133" s="5"/>
      <c r="H133" s="5"/>
      <c r="I133" s="5"/>
      <c r="J133" s="28"/>
      <c r="K133" s="28"/>
      <c r="L133" s="5"/>
      <c r="M133" s="5"/>
      <c r="N133" s="5"/>
      <c r="O133" s="28"/>
      <c r="P133" s="5"/>
      <c r="Q133" s="28"/>
      <c r="R133" s="28"/>
      <c r="S133" s="32" t="str">
        <f aca="false">IF(OR($Q133="",$R133="",$R133=0),"",$Q133/$R133)</f>
        <v/>
      </c>
      <c r="T133" s="28"/>
      <c r="U133" s="28"/>
      <c r="V133" s="5"/>
      <c r="W133" s="38" t="str">
        <f aca="false">IF(OR($T133="",$J133=""),"",$T133-$J133)</f>
        <v/>
      </c>
      <c r="X133" s="38" t="str">
        <f aca="false">IF(OR($T133="",$J133="",$O133=""),"",$T133-$J133-$O133)</f>
        <v/>
      </c>
      <c r="Y133" s="32" t="str">
        <f aca="false">IF(OR($T133="",$J133="",$O133="",$J133=0),"",($T133-$J133-$O133)/$J133)</f>
        <v/>
      </c>
      <c r="Z133" s="7" t="str">
        <f aca="false">IF($X133="","",IF(ABS($X133)&gt;=Thresholds!$B$4,"MATERIAL","within"))</f>
        <v/>
      </c>
      <c r="AA133" s="28"/>
      <c r="AB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18"/>
      <c r="G134" s="5"/>
      <c r="H134" s="5"/>
      <c r="I134" s="5"/>
      <c r="J134" s="28"/>
      <c r="K134" s="28"/>
      <c r="L134" s="5"/>
      <c r="M134" s="5"/>
      <c r="N134" s="5"/>
      <c r="O134" s="28"/>
      <c r="P134" s="5"/>
      <c r="Q134" s="28"/>
      <c r="R134" s="28"/>
      <c r="S134" s="32" t="str">
        <f aca="false">IF(OR($Q134="",$R134="",$R134=0),"",$Q134/$R134)</f>
        <v/>
      </c>
      <c r="T134" s="28"/>
      <c r="U134" s="28"/>
      <c r="V134" s="5"/>
      <c r="W134" s="38" t="str">
        <f aca="false">IF(OR($T134="",$J134=""),"",$T134-$J134)</f>
        <v/>
      </c>
      <c r="X134" s="38" t="str">
        <f aca="false">IF(OR($T134="",$J134="",$O134=""),"",$T134-$J134-$O134)</f>
        <v/>
      </c>
      <c r="Y134" s="32" t="str">
        <f aca="false">IF(OR($T134="",$J134="",$O134="",$J134=0),"",($T134-$J134-$O134)/$J134)</f>
        <v/>
      </c>
      <c r="Z134" s="7" t="str">
        <f aca="false">IF($X134="","",IF(ABS($X134)&gt;=Thresholds!$B$4,"MATERIAL","within"))</f>
        <v/>
      </c>
      <c r="AA134" s="28"/>
      <c r="AB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18"/>
      <c r="G135" s="5"/>
      <c r="H135" s="5"/>
      <c r="I135" s="5"/>
      <c r="J135" s="28"/>
      <c r="K135" s="28"/>
      <c r="L135" s="5"/>
      <c r="M135" s="5"/>
      <c r="N135" s="5"/>
      <c r="O135" s="28"/>
      <c r="P135" s="5"/>
      <c r="Q135" s="28"/>
      <c r="R135" s="28"/>
      <c r="S135" s="32" t="str">
        <f aca="false">IF(OR($Q135="",$R135="",$R135=0),"",$Q135/$R135)</f>
        <v/>
      </c>
      <c r="T135" s="28"/>
      <c r="U135" s="28"/>
      <c r="V135" s="5"/>
      <c r="W135" s="38" t="str">
        <f aca="false">IF(OR($T135="",$J135=""),"",$T135-$J135)</f>
        <v/>
      </c>
      <c r="X135" s="38" t="str">
        <f aca="false">IF(OR($T135="",$J135="",$O135=""),"",$T135-$J135-$O135)</f>
        <v/>
      </c>
      <c r="Y135" s="32" t="str">
        <f aca="false">IF(OR($T135="",$J135="",$O135="",$J135=0),"",($T135-$J135-$O135)/$J135)</f>
        <v/>
      </c>
      <c r="Z135" s="7" t="str">
        <f aca="false">IF($X135="","",IF(ABS($X135)&gt;=Thresholds!$B$4,"MATERIAL","within"))</f>
        <v/>
      </c>
      <c r="AA135" s="28"/>
      <c r="AB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18"/>
      <c r="G136" s="5"/>
      <c r="H136" s="5"/>
      <c r="I136" s="5"/>
      <c r="J136" s="28"/>
      <c r="K136" s="28"/>
      <c r="L136" s="5"/>
      <c r="M136" s="5"/>
      <c r="N136" s="5"/>
      <c r="O136" s="28"/>
      <c r="P136" s="5"/>
      <c r="Q136" s="28"/>
      <c r="R136" s="28"/>
      <c r="S136" s="32" t="str">
        <f aca="false">IF(OR($Q136="",$R136="",$R136=0),"",$Q136/$R136)</f>
        <v/>
      </c>
      <c r="T136" s="28"/>
      <c r="U136" s="28"/>
      <c r="V136" s="5"/>
      <c r="W136" s="38" t="str">
        <f aca="false">IF(OR($T136="",$J136=""),"",$T136-$J136)</f>
        <v/>
      </c>
      <c r="X136" s="38" t="str">
        <f aca="false">IF(OR($T136="",$J136="",$O136=""),"",$T136-$J136-$O136)</f>
        <v/>
      </c>
      <c r="Y136" s="32" t="str">
        <f aca="false">IF(OR($T136="",$J136="",$O136="",$J136=0),"",($T136-$J136-$O136)/$J136)</f>
        <v/>
      </c>
      <c r="Z136" s="7" t="str">
        <f aca="false">IF($X136="","",IF(ABS($X136)&gt;=Thresholds!$B$4,"MATERIAL","within"))</f>
        <v/>
      </c>
      <c r="AA136" s="28"/>
      <c r="AB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18"/>
      <c r="G137" s="5"/>
      <c r="H137" s="5"/>
      <c r="I137" s="5"/>
      <c r="J137" s="28"/>
      <c r="K137" s="28"/>
      <c r="L137" s="5"/>
      <c r="M137" s="5"/>
      <c r="N137" s="5"/>
      <c r="O137" s="28"/>
      <c r="P137" s="5"/>
      <c r="Q137" s="28"/>
      <c r="R137" s="28"/>
      <c r="S137" s="32" t="str">
        <f aca="false">IF(OR($Q137="",$R137="",$R137=0),"",$Q137/$R137)</f>
        <v/>
      </c>
      <c r="T137" s="28"/>
      <c r="U137" s="28"/>
      <c r="V137" s="5"/>
      <c r="W137" s="38" t="str">
        <f aca="false">IF(OR($T137="",$J137=""),"",$T137-$J137)</f>
        <v/>
      </c>
      <c r="X137" s="38" t="str">
        <f aca="false">IF(OR($T137="",$J137="",$O137=""),"",$T137-$J137-$O137)</f>
        <v/>
      </c>
      <c r="Y137" s="32" t="str">
        <f aca="false">IF(OR($T137="",$J137="",$O137="",$J137=0),"",($T137-$J137-$O137)/$J137)</f>
        <v/>
      </c>
      <c r="Z137" s="7" t="str">
        <f aca="false">IF($X137="","",IF(ABS($X137)&gt;=Thresholds!$B$4,"MATERIAL","within"))</f>
        <v/>
      </c>
      <c r="AA137" s="28"/>
      <c r="AB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18"/>
      <c r="G138" s="5"/>
      <c r="H138" s="5"/>
      <c r="I138" s="5"/>
      <c r="J138" s="28"/>
      <c r="K138" s="28"/>
      <c r="L138" s="5"/>
      <c r="M138" s="5"/>
      <c r="N138" s="5"/>
      <c r="O138" s="28"/>
      <c r="P138" s="5"/>
      <c r="Q138" s="28"/>
      <c r="R138" s="28"/>
      <c r="S138" s="32" t="str">
        <f aca="false">IF(OR($Q138="",$R138="",$R138=0),"",$Q138/$R138)</f>
        <v/>
      </c>
      <c r="T138" s="28"/>
      <c r="U138" s="28"/>
      <c r="V138" s="5"/>
      <c r="W138" s="38" t="str">
        <f aca="false">IF(OR($T138="",$J138=""),"",$T138-$J138)</f>
        <v/>
      </c>
      <c r="X138" s="38" t="str">
        <f aca="false">IF(OR($T138="",$J138="",$O138=""),"",$T138-$J138-$O138)</f>
        <v/>
      </c>
      <c r="Y138" s="32" t="str">
        <f aca="false">IF(OR($T138="",$J138="",$O138="",$J138=0),"",($T138-$J138-$O138)/$J138)</f>
        <v/>
      </c>
      <c r="Z138" s="7" t="str">
        <f aca="false">IF($X138="","",IF(ABS($X138)&gt;=Thresholds!$B$4,"MATERIAL","within"))</f>
        <v/>
      </c>
      <c r="AA138" s="28"/>
      <c r="AB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18"/>
      <c r="G139" s="5"/>
      <c r="H139" s="5"/>
      <c r="I139" s="5"/>
      <c r="J139" s="28"/>
      <c r="K139" s="28"/>
      <c r="L139" s="5"/>
      <c r="M139" s="5"/>
      <c r="N139" s="5"/>
      <c r="O139" s="28"/>
      <c r="P139" s="5"/>
      <c r="Q139" s="28"/>
      <c r="R139" s="28"/>
      <c r="S139" s="32" t="str">
        <f aca="false">IF(OR($Q139="",$R139="",$R139=0),"",$Q139/$R139)</f>
        <v/>
      </c>
      <c r="T139" s="28"/>
      <c r="U139" s="28"/>
      <c r="V139" s="5"/>
      <c r="W139" s="38" t="str">
        <f aca="false">IF(OR($T139="",$J139=""),"",$T139-$J139)</f>
        <v/>
      </c>
      <c r="X139" s="38" t="str">
        <f aca="false">IF(OR($T139="",$J139="",$O139=""),"",$T139-$J139-$O139)</f>
        <v/>
      </c>
      <c r="Y139" s="32" t="str">
        <f aca="false">IF(OR($T139="",$J139="",$O139="",$J139=0),"",($T139-$J139-$O139)/$J139)</f>
        <v/>
      </c>
      <c r="Z139" s="7" t="str">
        <f aca="false">IF($X139="","",IF(ABS($X139)&gt;=Thresholds!$B$4,"MATERIAL","within"))</f>
        <v/>
      </c>
      <c r="AA139" s="28"/>
      <c r="AB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18"/>
      <c r="G140" s="5"/>
      <c r="H140" s="5"/>
      <c r="I140" s="5"/>
      <c r="J140" s="28"/>
      <c r="K140" s="28"/>
      <c r="L140" s="5"/>
      <c r="M140" s="5"/>
      <c r="N140" s="5"/>
      <c r="O140" s="28"/>
      <c r="P140" s="5"/>
      <c r="Q140" s="28"/>
      <c r="R140" s="28"/>
      <c r="S140" s="32" t="str">
        <f aca="false">IF(OR($Q140="",$R140="",$R140=0),"",$Q140/$R140)</f>
        <v/>
      </c>
      <c r="T140" s="28"/>
      <c r="U140" s="28"/>
      <c r="V140" s="5"/>
      <c r="W140" s="38" t="str">
        <f aca="false">IF(OR($T140="",$J140=""),"",$T140-$J140)</f>
        <v/>
      </c>
      <c r="X140" s="38" t="str">
        <f aca="false">IF(OR($T140="",$J140="",$O140=""),"",$T140-$J140-$O140)</f>
        <v/>
      </c>
      <c r="Y140" s="32" t="str">
        <f aca="false">IF(OR($T140="",$J140="",$O140="",$J140=0),"",($T140-$J140-$O140)/$J140)</f>
        <v/>
      </c>
      <c r="Z140" s="7" t="str">
        <f aca="false">IF($X140="","",IF(ABS($X140)&gt;=Thresholds!$B$4,"MATERIAL","within"))</f>
        <v/>
      </c>
      <c r="AA140" s="28"/>
      <c r="AB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18"/>
      <c r="G141" s="5"/>
      <c r="H141" s="5"/>
      <c r="I141" s="5"/>
      <c r="J141" s="28"/>
      <c r="K141" s="28"/>
      <c r="L141" s="5"/>
      <c r="M141" s="5"/>
      <c r="N141" s="5"/>
      <c r="O141" s="28"/>
      <c r="P141" s="5"/>
      <c r="Q141" s="28"/>
      <c r="R141" s="28"/>
      <c r="S141" s="32" t="str">
        <f aca="false">IF(OR($Q141="",$R141="",$R141=0),"",$Q141/$R141)</f>
        <v/>
      </c>
      <c r="T141" s="28"/>
      <c r="U141" s="28"/>
      <c r="V141" s="5"/>
      <c r="W141" s="38" t="str">
        <f aca="false">IF(OR($T141="",$J141=""),"",$T141-$J141)</f>
        <v/>
      </c>
      <c r="X141" s="38" t="str">
        <f aca="false">IF(OR($T141="",$J141="",$O141=""),"",$T141-$J141-$O141)</f>
        <v/>
      </c>
      <c r="Y141" s="32" t="str">
        <f aca="false">IF(OR($T141="",$J141="",$O141="",$J141=0),"",($T141-$J141-$O141)/$J141)</f>
        <v/>
      </c>
      <c r="Z141" s="7" t="str">
        <f aca="false">IF($X141="","",IF(ABS($X141)&gt;=Thresholds!$B$4,"MATERIAL","within"))</f>
        <v/>
      </c>
      <c r="AA141" s="28"/>
      <c r="AB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18"/>
      <c r="G142" s="5"/>
      <c r="H142" s="5"/>
      <c r="I142" s="5"/>
      <c r="J142" s="28"/>
      <c r="K142" s="28"/>
      <c r="L142" s="5"/>
      <c r="M142" s="5"/>
      <c r="N142" s="5"/>
      <c r="O142" s="28"/>
      <c r="P142" s="5"/>
      <c r="Q142" s="28"/>
      <c r="R142" s="28"/>
      <c r="S142" s="32" t="str">
        <f aca="false">IF(OR($Q142="",$R142="",$R142=0),"",$Q142/$R142)</f>
        <v/>
      </c>
      <c r="T142" s="28"/>
      <c r="U142" s="28"/>
      <c r="V142" s="5"/>
      <c r="W142" s="38" t="str">
        <f aca="false">IF(OR($T142="",$J142=""),"",$T142-$J142)</f>
        <v/>
      </c>
      <c r="X142" s="38" t="str">
        <f aca="false">IF(OR($T142="",$J142="",$O142=""),"",$T142-$J142-$O142)</f>
        <v/>
      </c>
      <c r="Y142" s="32" t="str">
        <f aca="false">IF(OR($T142="",$J142="",$O142="",$J142=0),"",($T142-$J142-$O142)/$J142)</f>
        <v/>
      </c>
      <c r="Z142" s="7" t="str">
        <f aca="false">IF($X142="","",IF(ABS($X142)&gt;=Thresholds!$B$4,"MATERIAL","within"))</f>
        <v/>
      </c>
      <c r="AA142" s="28"/>
      <c r="AB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18"/>
      <c r="G143" s="5"/>
      <c r="H143" s="5"/>
      <c r="I143" s="5"/>
      <c r="J143" s="28"/>
      <c r="K143" s="28"/>
      <c r="L143" s="5"/>
      <c r="M143" s="5"/>
      <c r="N143" s="5"/>
      <c r="O143" s="28"/>
      <c r="P143" s="5"/>
      <c r="Q143" s="28"/>
      <c r="R143" s="28"/>
      <c r="S143" s="32" t="str">
        <f aca="false">IF(OR($Q143="",$R143="",$R143=0),"",$Q143/$R143)</f>
        <v/>
      </c>
      <c r="T143" s="28"/>
      <c r="U143" s="28"/>
      <c r="V143" s="5"/>
      <c r="W143" s="38" t="str">
        <f aca="false">IF(OR($T143="",$J143=""),"",$T143-$J143)</f>
        <v/>
      </c>
      <c r="X143" s="38" t="str">
        <f aca="false">IF(OR($T143="",$J143="",$O143=""),"",$T143-$J143-$O143)</f>
        <v/>
      </c>
      <c r="Y143" s="32" t="str">
        <f aca="false">IF(OR($T143="",$J143="",$O143="",$J143=0),"",($T143-$J143-$O143)/$J143)</f>
        <v/>
      </c>
      <c r="Z143" s="7" t="str">
        <f aca="false">IF($X143="","",IF(ABS($X143)&gt;=Thresholds!$B$4,"MATERIAL","within"))</f>
        <v/>
      </c>
      <c r="AA143" s="28"/>
      <c r="AB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18"/>
      <c r="G144" s="5"/>
      <c r="H144" s="5"/>
      <c r="I144" s="5"/>
      <c r="J144" s="28"/>
      <c r="K144" s="28"/>
      <c r="L144" s="5"/>
      <c r="M144" s="5"/>
      <c r="N144" s="5"/>
      <c r="O144" s="28"/>
      <c r="P144" s="5"/>
      <c r="Q144" s="28"/>
      <c r="R144" s="28"/>
      <c r="S144" s="32" t="str">
        <f aca="false">IF(OR($Q144="",$R144="",$R144=0),"",$Q144/$R144)</f>
        <v/>
      </c>
      <c r="T144" s="28"/>
      <c r="U144" s="28"/>
      <c r="V144" s="5"/>
      <c r="W144" s="38" t="str">
        <f aca="false">IF(OR($T144="",$J144=""),"",$T144-$J144)</f>
        <v/>
      </c>
      <c r="X144" s="38" t="str">
        <f aca="false">IF(OR($T144="",$J144="",$O144=""),"",$T144-$J144-$O144)</f>
        <v/>
      </c>
      <c r="Y144" s="32" t="str">
        <f aca="false">IF(OR($T144="",$J144="",$O144="",$J144=0),"",($T144-$J144-$O144)/$J144)</f>
        <v/>
      </c>
      <c r="Z144" s="7" t="str">
        <f aca="false">IF($X144="","",IF(ABS($X144)&gt;=Thresholds!$B$4,"MATERIAL","within"))</f>
        <v/>
      </c>
      <c r="AA144" s="28"/>
      <c r="AB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18"/>
      <c r="G145" s="5"/>
      <c r="H145" s="5"/>
      <c r="I145" s="5"/>
      <c r="J145" s="28"/>
      <c r="K145" s="28"/>
      <c r="L145" s="5"/>
      <c r="M145" s="5"/>
      <c r="N145" s="5"/>
      <c r="O145" s="28"/>
      <c r="P145" s="5"/>
      <c r="Q145" s="28"/>
      <c r="R145" s="28"/>
      <c r="S145" s="32" t="str">
        <f aca="false">IF(OR($Q145="",$R145="",$R145=0),"",$Q145/$R145)</f>
        <v/>
      </c>
      <c r="T145" s="28"/>
      <c r="U145" s="28"/>
      <c r="V145" s="5"/>
      <c r="W145" s="38" t="str">
        <f aca="false">IF(OR($T145="",$J145=""),"",$T145-$J145)</f>
        <v/>
      </c>
      <c r="X145" s="38" t="str">
        <f aca="false">IF(OR($T145="",$J145="",$O145=""),"",$T145-$J145-$O145)</f>
        <v/>
      </c>
      <c r="Y145" s="32" t="str">
        <f aca="false">IF(OR($T145="",$J145="",$O145="",$J145=0),"",($T145-$J145-$O145)/$J145)</f>
        <v/>
      </c>
      <c r="Z145" s="7" t="str">
        <f aca="false">IF($X145="","",IF(ABS($X145)&gt;=Thresholds!$B$4,"MATERIAL","within"))</f>
        <v/>
      </c>
      <c r="AA145" s="28"/>
      <c r="AB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18"/>
      <c r="G146" s="5"/>
      <c r="H146" s="5"/>
      <c r="I146" s="5"/>
      <c r="J146" s="28"/>
      <c r="K146" s="28"/>
      <c r="L146" s="5"/>
      <c r="M146" s="5"/>
      <c r="N146" s="5"/>
      <c r="O146" s="28"/>
      <c r="P146" s="5"/>
      <c r="Q146" s="28"/>
      <c r="R146" s="28"/>
      <c r="S146" s="32" t="str">
        <f aca="false">IF(OR($Q146="",$R146="",$R146=0),"",$Q146/$R146)</f>
        <v/>
      </c>
      <c r="T146" s="28"/>
      <c r="U146" s="28"/>
      <c r="V146" s="5"/>
      <c r="W146" s="38" t="str">
        <f aca="false">IF(OR($T146="",$J146=""),"",$T146-$J146)</f>
        <v/>
      </c>
      <c r="X146" s="38" t="str">
        <f aca="false">IF(OR($T146="",$J146="",$O146=""),"",$T146-$J146-$O146)</f>
        <v/>
      </c>
      <c r="Y146" s="32" t="str">
        <f aca="false">IF(OR($T146="",$J146="",$O146="",$J146=0),"",($T146-$J146-$O146)/$J146)</f>
        <v/>
      </c>
      <c r="Z146" s="7" t="str">
        <f aca="false">IF($X146="","",IF(ABS($X146)&gt;=Thresholds!$B$4,"MATERIAL","within"))</f>
        <v/>
      </c>
      <c r="AA146" s="28"/>
      <c r="AB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18"/>
      <c r="G147" s="5"/>
      <c r="H147" s="5"/>
      <c r="I147" s="5"/>
      <c r="J147" s="28"/>
      <c r="K147" s="28"/>
      <c r="L147" s="5"/>
      <c r="M147" s="5"/>
      <c r="N147" s="5"/>
      <c r="O147" s="28"/>
      <c r="P147" s="5"/>
      <c r="Q147" s="28"/>
      <c r="R147" s="28"/>
      <c r="S147" s="32" t="str">
        <f aca="false">IF(OR($Q147="",$R147="",$R147=0),"",$Q147/$R147)</f>
        <v/>
      </c>
      <c r="T147" s="28"/>
      <c r="U147" s="28"/>
      <c r="V147" s="5"/>
      <c r="W147" s="38" t="str">
        <f aca="false">IF(OR($T147="",$J147=""),"",$T147-$J147)</f>
        <v/>
      </c>
      <c r="X147" s="38" t="str">
        <f aca="false">IF(OR($T147="",$J147="",$O147=""),"",$T147-$J147-$O147)</f>
        <v/>
      </c>
      <c r="Y147" s="32" t="str">
        <f aca="false">IF(OR($T147="",$J147="",$O147="",$J147=0),"",($T147-$J147-$O147)/$J147)</f>
        <v/>
      </c>
      <c r="Z147" s="7" t="str">
        <f aca="false">IF($X147="","",IF(ABS($X147)&gt;=Thresholds!$B$4,"MATERIAL","within"))</f>
        <v/>
      </c>
      <c r="AA147" s="28"/>
      <c r="AB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18"/>
      <c r="G148" s="5"/>
      <c r="H148" s="5"/>
      <c r="I148" s="5"/>
      <c r="J148" s="28"/>
      <c r="K148" s="28"/>
      <c r="L148" s="5"/>
      <c r="M148" s="5"/>
      <c r="N148" s="5"/>
      <c r="O148" s="28"/>
      <c r="P148" s="5"/>
      <c r="Q148" s="28"/>
      <c r="R148" s="28"/>
      <c r="S148" s="32" t="str">
        <f aca="false">IF(OR($Q148="",$R148="",$R148=0),"",$Q148/$R148)</f>
        <v/>
      </c>
      <c r="T148" s="28"/>
      <c r="U148" s="28"/>
      <c r="V148" s="5"/>
      <c r="W148" s="38" t="str">
        <f aca="false">IF(OR($T148="",$J148=""),"",$T148-$J148)</f>
        <v/>
      </c>
      <c r="X148" s="38" t="str">
        <f aca="false">IF(OR($T148="",$J148="",$O148=""),"",$T148-$J148-$O148)</f>
        <v/>
      </c>
      <c r="Y148" s="32" t="str">
        <f aca="false">IF(OR($T148="",$J148="",$O148="",$J148=0),"",($T148-$J148-$O148)/$J148)</f>
        <v/>
      </c>
      <c r="Z148" s="7" t="str">
        <f aca="false">IF($X148="","",IF(ABS($X148)&gt;=Thresholds!$B$4,"MATERIAL","within"))</f>
        <v/>
      </c>
      <c r="AA148" s="28"/>
      <c r="AB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18"/>
      <c r="G149" s="5"/>
      <c r="H149" s="5"/>
      <c r="I149" s="5"/>
      <c r="J149" s="28"/>
      <c r="K149" s="28"/>
      <c r="L149" s="5"/>
      <c r="M149" s="5"/>
      <c r="N149" s="5"/>
      <c r="O149" s="28"/>
      <c r="P149" s="5"/>
      <c r="Q149" s="28"/>
      <c r="R149" s="28"/>
      <c r="S149" s="32" t="str">
        <f aca="false">IF(OR($Q149="",$R149="",$R149=0),"",$Q149/$R149)</f>
        <v/>
      </c>
      <c r="T149" s="28"/>
      <c r="U149" s="28"/>
      <c r="V149" s="5"/>
      <c r="W149" s="38" t="str">
        <f aca="false">IF(OR($T149="",$J149=""),"",$T149-$J149)</f>
        <v/>
      </c>
      <c r="X149" s="38" t="str">
        <f aca="false">IF(OR($T149="",$J149="",$O149=""),"",$T149-$J149-$O149)</f>
        <v/>
      </c>
      <c r="Y149" s="32" t="str">
        <f aca="false">IF(OR($T149="",$J149="",$O149="",$J149=0),"",($T149-$J149-$O149)/$J149)</f>
        <v/>
      </c>
      <c r="Z149" s="7" t="str">
        <f aca="false">IF($X149="","",IF(ABS($X149)&gt;=Thresholds!$B$4,"MATERIAL","within"))</f>
        <v/>
      </c>
      <c r="AA149" s="28"/>
      <c r="AB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18"/>
      <c r="G150" s="5"/>
      <c r="H150" s="5"/>
      <c r="I150" s="5"/>
      <c r="J150" s="28"/>
      <c r="K150" s="28"/>
      <c r="L150" s="5"/>
      <c r="M150" s="5"/>
      <c r="N150" s="5"/>
      <c r="O150" s="28"/>
      <c r="P150" s="5"/>
      <c r="Q150" s="28"/>
      <c r="R150" s="28"/>
      <c r="S150" s="32" t="str">
        <f aca="false">IF(OR($Q150="",$R150="",$R150=0),"",$Q150/$R150)</f>
        <v/>
      </c>
      <c r="T150" s="28"/>
      <c r="U150" s="28"/>
      <c r="V150" s="5"/>
      <c r="W150" s="38" t="str">
        <f aca="false">IF(OR($T150="",$J150=""),"",$T150-$J150)</f>
        <v/>
      </c>
      <c r="X150" s="38" t="str">
        <f aca="false">IF(OR($T150="",$J150="",$O150=""),"",$T150-$J150-$O150)</f>
        <v/>
      </c>
      <c r="Y150" s="32" t="str">
        <f aca="false">IF(OR($T150="",$J150="",$O150="",$J150=0),"",($T150-$J150-$O150)/$J150)</f>
        <v/>
      </c>
      <c r="Z150" s="7" t="str">
        <f aca="false">IF($X150="","",IF(ABS($X150)&gt;=Thresholds!$B$4,"MATERIAL","within"))</f>
        <v/>
      </c>
      <c r="AA150" s="28"/>
      <c r="AB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18"/>
      <c r="G151" s="5"/>
      <c r="H151" s="5"/>
      <c r="I151" s="5"/>
      <c r="J151" s="28"/>
      <c r="K151" s="28"/>
      <c r="L151" s="5"/>
      <c r="M151" s="5"/>
      <c r="N151" s="5"/>
      <c r="O151" s="28"/>
      <c r="P151" s="5"/>
      <c r="Q151" s="28"/>
      <c r="R151" s="28"/>
      <c r="S151" s="32" t="str">
        <f aca="false">IF(OR($Q151="",$R151="",$R151=0),"",$Q151/$R151)</f>
        <v/>
      </c>
      <c r="T151" s="28"/>
      <c r="U151" s="28"/>
      <c r="V151" s="5"/>
      <c r="W151" s="38" t="str">
        <f aca="false">IF(OR($T151="",$J151=""),"",$T151-$J151)</f>
        <v/>
      </c>
      <c r="X151" s="38" t="str">
        <f aca="false">IF(OR($T151="",$J151="",$O151=""),"",$T151-$J151-$O151)</f>
        <v/>
      </c>
      <c r="Y151" s="32" t="str">
        <f aca="false">IF(OR($T151="",$J151="",$O151="",$J151=0),"",($T151-$J151-$O151)/$J151)</f>
        <v/>
      </c>
      <c r="Z151" s="7" t="str">
        <f aca="false">IF($X151="","",IF(ABS($X151)&gt;=Thresholds!$B$4,"MATERIAL","within"))</f>
        <v/>
      </c>
      <c r="AA151" s="28"/>
      <c r="AB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18"/>
      <c r="G152" s="5"/>
      <c r="H152" s="5"/>
      <c r="I152" s="5"/>
      <c r="J152" s="28"/>
      <c r="K152" s="28"/>
      <c r="L152" s="5"/>
      <c r="M152" s="5"/>
      <c r="N152" s="5"/>
      <c r="O152" s="28"/>
      <c r="P152" s="5"/>
      <c r="Q152" s="28"/>
      <c r="R152" s="28"/>
      <c r="S152" s="32" t="str">
        <f aca="false">IF(OR($Q152="",$R152="",$R152=0),"",$Q152/$R152)</f>
        <v/>
      </c>
      <c r="T152" s="28"/>
      <c r="U152" s="28"/>
      <c r="V152" s="5"/>
      <c r="W152" s="38" t="str">
        <f aca="false">IF(OR($T152="",$J152=""),"",$T152-$J152)</f>
        <v/>
      </c>
      <c r="X152" s="38" t="str">
        <f aca="false">IF(OR($T152="",$J152="",$O152=""),"",$T152-$J152-$O152)</f>
        <v/>
      </c>
      <c r="Y152" s="32" t="str">
        <f aca="false">IF(OR($T152="",$J152="",$O152="",$J152=0),"",($T152-$J152-$O152)/$J152)</f>
        <v/>
      </c>
      <c r="Z152" s="7" t="str">
        <f aca="false">IF($X152="","",IF(ABS($X152)&gt;=Thresholds!$B$4,"MATERIAL","within"))</f>
        <v/>
      </c>
      <c r="AA152" s="28"/>
      <c r="AB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18"/>
      <c r="G153" s="5"/>
      <c r="H153" s="5"/>
      <c r="I153" s="5"/>
      <c r="J153" s="28"/>
      <c r="K153" s="28"/>
      <c r="L153" s="5"/>
      <c r="M153" s="5"/>
      <c r="N153" s="5"/>
      <c r="O153" s="28"/>
      <c r="P153" s="5"/>
      <c r="Q153" s="28"/>
      <c r="R153" s="28"/>
      <c r="S153" s="32" t="str">
        <f aca="false">IF(OR($Q153="",$R153="",$R153=0),"",$Q153/$R153)</f>
        <v/>
      </c>
      <c r="T153" s="28"/>
      <c r="U153" s="28"/>
      <c r="V153" s="5"/>
      <c r="W153" s="38" t="str">
        <f aca="false">IF(OR($T153="",$J153=""),"",$T153-$J153)</f>
        <v/>
      </c>
      <c r="X153" s="38" t="str">
        <f aca="false">IF(OR($T153="",$J153="",$O153=""),"",$T153-$J153-$O153)</f>
        <v/>
      </c>
      <c r="Y153" s="32" t="str">
        <f aca="false">IF(OR($T153="",$J153="",$O153="",$J153=0),"",($T153-$J153-$O153)/$J153)</f>
        <v/>
      </c>
      <c r="Z153" s="7" t="str">
        <f aca="false">IF($X153="","",IF(ABS($X153)&gt;=Thresholds!$B$4,"MATERIAL","within"))</f>
        <v/>
      </c>
      <c r="AA153" s="28"/>
      <c r="AB153" s="5"/>
    </row>
  </sheetData>
  <autoFilter ref="A2:AB153"/>
  <mergeCells count="7">
    <mergeCell ref="A1:D1"/>
    <mergeCell ref="E1:K1"/>
    <mergeCell ref="L1:P1"/>
    <mergeCell ref="Q1:S1"/>
    <mergeCell ref="T1:V1"/>
    <mergeCell ref="W1:Z1"/>
    <mergeCell ref="AA1:AB1"/>
  </mergeCells>
  <dataValidations count="5">
    <dataValidation allowBlank="true" error="Pick a value from the UnitType list on the Lookups sheet." errorStyle="stop" errorTitle="Not in list" operator="between" showDropDown="false" showErrorMessage="false" showInputMessage="false" sqref="I4:I153" type="list">
      <formula1>Lookups!$L$4:$L$9</formula1>
      <formula2>0</formula2>
    </dataValidation>
    <dataValidation allowBlank="true" error="Pick a value from the Convention list on the Lookups sheet." errorStyle="stop" errorTitle="Not in list" operator="between" showDropDown="false" showErrorMessage="false" showInputMessage="false" sqref="L4:L153" type="list">
      <formula1>Lookups!$J$4:$J$7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M4:M153" type="list">
      <formula1>Lookups!$G$4:$G$6</formula1>
      <formula2>0</formula2>
    </dataValidation>
    <dataValidation allowBlank="true" error="Pick a value from the YesNo list on the Lookups sheet." errorStyle="stop" errorTitle="Not in list" operator="between" showDropDown="false" showErrorMessage="false" showInputMessage="false" sqref="N4:N153" type="list">
      <formula1>Lookups!$G$4:$G$6</formula1>
      <formula2>0</formula2>
    </dataValidation>
    <dataValidation allowBlank="true" error="Pick a value from the Condition list on the Lookups sheet." errorStyle="stop" errorTitle="Not in list" operator="between" showDropDown="false" showErrorMessage="false" showInputMessage="false" sqref="V4:V153" type="list">
      <formula1>Lookups!$C$4:$C$9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9" t="s">
        <v>320</v>
      </c>
    </row>
    <row r="2" customFormat="false" ht="15" hidden="false" customHeight="false" outlineLevel="0" collapsed="false">
      <c r="A2" s="11" t="s">
        <v>321</v>
      </c>
    </row>
    <row r="3" customFormat="false" ht="15" hidden="false" customHeight="false" outlineLevel="0" collapsed="false">
      <c r="A3" s="10" t="s">
        <v>322</v>
      </c>
      <c r="B3" s="10" t="s">
        <v>323</v>
      </c>
      <c r="C3" s="10" t="s">
        <v>324</v>
      </c>
      <c r="D3" s="10" t="s">
        <v>325</v>
      </c>
    </row>
    <row r="4" customFormat="false" ht="15" hidden="false" customHeight="false" outlineLevel="0" collapsed="false">
      <c r="A4" s="39" t="s">
        <v>326</v>
      </c>
      <c r="B4" s="5" t="n">
        <v>0.5</v>
      </c>
      <c r="C4" s="39" t="s">
        <v>327</v>
      </c>
      <c r="D4" s="39" t="s">
        <v>328</v>
      </c>
    </row>
    <row r="5" customFormat="false" ht="15" hidden="false" customHeight="false" outlineLevel="0" collapsed="false">
      <c r="A5" s="39" t="s">
        <v>329</v>
      </c>
      <c r="B5" s="5" t="n">
        <v>0.005</v>
      </c>
      <c r="C5" s="39" t="s">
        <v>330</v>
      </c>
      <c r="D5" s="39" t="s">
        <v>331</v>
      </c>
    </row>
    <row r="6" customFormat="false" ht="15" hidden="false" customHeight="false" outlineLevel="0" collapsed="false">
      <c r="A6" s="39" t="s">
        <v>332</v>
      </c>
      <c r="B6" s="5" t="n">
        <v>0.005</v>
      </c>
      <c r="C6" s="39" t="s">
        <v>330</v>
      </c>
      <c r="D6" s="39" t="s">
        <v>331</v>
      </c>
    </row>
    <row r="7" customFormat="false" ht="15" hidden="false" customHeight="false" outlineLevel="0" collapsed="false">
      <c r="A7" s="39" t="s">
        <v>333</v>
      </c>
      <c r="B7" s="5" t="n">
        <v>0.1</v>
      </c>
      <c r="C7" s="39" t="s">
        <v>164</v>
      </c>
      <c r="D7" s="39" t="s">
        <v>334</v>
      </c>
    </row>
    <row r="8" customFormat="false" ht="15" hidden="false" customHeight="false" outlineLevel="0" collapsed="false">
      <c r="A8" s="39" t="s">
        <v>335</v>
      </c>
      <c r="B8" s="5" t="n">
        <v>1</v>
      </c>
      <c r="C8" s="39" t="s">
        <v>336</v>
      </c>
      <c r="D8" s="39" t="s">
        <v>337</v>
      </c>
    </row>
    <row r="9" customFormat="false" ht="15" hidden="false" customHeight="false" outlineLevel="0" collapsed="false">
      <c r="A9" s="39" t="s">
        <v>338</v>
      </c>
      <c r="B9" s="5" t="n">
        <v>10</v>
      </c>
      <c r="C9" s="39" t="s">
        <v>336</v>
      </c>
      <c r="D9" s="39" t="s">
        <v>337</v>
      </c>
    </row>
    <row r="10" customFormat="false" ht="15" hidden="false" customHeight="false" outlineLevel="0" collapsed="false">
      <c r="A10" s="39" t="s">
        <v>339</v>
      </c>
      <c r="B10" s="5" t="n">
        <v>100</v>
      </c>
      <c r="C10" s="39" t="s">
        <v>336</v>
      </c>
      <c r="D10" s="39" t="s">
        <v>337</v>
      </c>
    </row>
    <row r="11" customFormat="false" ht="15" hidden="false" customHeight="false" outlineLevel="0" collapsed="false">
      <c r="A11" s="39" t="s">
        <v>340</v>
      </c>
      <c r="B11" s="5" t="n">
        <v>0.001</v>
      </c>
      <c r="C11" s="39" t="s">
        <v>330</v>
      </c>
      <c r="D11" s="39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5" min="2" style="0" width="13"/>
  </cols>
  <sheetData>
    <row r="1" customFormat="false" ht="17.35" hidden="false" customHeight="false" outlineLevel="0" collapsed="false">
      <c r="A1" s="9" t="s">
        <v>341</v>
      </c>
    </row>
    <row r="2" customFormat="false" ht="15" hidden="false" customHeight="false" outlineLevel="0" collapsed="false">
      <c r="A2" s="11" t="s">
        <v>342</v>
      </c>
    </row>
    <row r="4" customFormat="false" ht="39.75" hidden="false" customHeight="true" outlineLevel="0" collapsed="false">
      <c r="A4" s="13" t="s">
        <v>52</v>
      </c>
      <c r="B4" s="13" t="s">
        <v>343</v>
      </c>
      <c r="C4" s="13" t="s">
        <v>344</v>
      </c>
      <c r="D4" s="13" t="s">
        <v>345</v>
      </c>
      <c r="E4" s="13" t="s">
        <v>346</v>
      </c>
      <c r="F4" s="13" t="s">
        <v>347</v>
      </c>
      <c r="G4" s="13" t="s">
        <v>348</v>
      </c>
      <c r="H4" s="13" t="s">
        <v>349</v>
      </c>
      <c r="I4" s="13" t="s">
        <v>350</v>
      </c>
      <c r="J4" s="13" t="s">
        <v>351</v>
      </c>
      <c r="K4" s="13" t="s">
        <v>352</v>
      </c>
      <c r="L4" s="13" t="s">
        <v>353</v>
      </c>
      <c r="M4" s="13" t="s">
        <v>354</v>
      </c>
      <c r="N4" s="13" t="s">
        <v>355</v>
      </c>
      <c r="O4" s="13" t="s">
        <v>356</v>
      </c>
    </row>
    <row r="5" customFormat="false" ht="15" hidden="false" customHeight="false" outlineLevel="0" collapsed="false">
      <c r="A5" s="40" t="s">
        <v>66</v>
      </c>
      <c r="B5" s="33" t="n">
        <f aca="false">COUNTIF(Volumes!$F$4:$F$403,$A5)</f>
        <v>0</v>
      </c>
      <c r="C5" s="33" t="n">
        <f aca="false">COUNTIFS(Volumes!$F$4:$F$403,$A5,Volumes!$H$4:$H$403,"ok")</f>
        <v>0</v>
      </c>
      <c r="D5" s="34" t="str">
        <f aca="false">IF($B5=0,"",COUNTIFS(Volumes!$F$4:$F$403,$A5,Volumes!$Q$4:$Q$403,"Y")/$B5)</f>
        <v/>
      </c>
      <c r="E5" s="34" t="str">
        <f aca="false">IF($B5=0,"",COUNTIFS(Volumes!$F$4:$F$403,$A5,Volumes!$Z$4:$Z$403,"Y")/$B5)</f>
        <v/>
      </c>
      <c r="F5" s="34" t="str">
        <f aca="false">IF($B5=0,"",COUNTIFS(Volumes!$F$4:$F$403,$A5,Volumes!$BM$4:$BM$403,"Y")/$B5)</f>
        <v/>
      </c>
      <c r="G5" s="34" t="str">
        <f aca="false">IF($B5=0,"",COUNTIFS(Volumes!$F$4:$F$403,$A5,Volumes!$BN$4:$BN$403,"Y")/$B5)</f>
        <v/>
      </c>
      <c r="H5" s="34" t="str">
        <f aca="false">IF($B5=0,"",COUNTIFS(Volumes!$F$4:$F$403,$A5,Volumes!$BO$4:$BO$403,"Y")/$B5)</f>
        <v/>
      </c>
      <c r="I5" s="34" t="str">
        <f aca="false">IF($B5=0,"",COUNTIFS(Volumes!$F$4:$F$403,$A5,Volumes!$BP$4:$BP$403,"Y")/$B5)</f>
        <v/>
      </c>
      <c r="J5" s="32" t="str">
        <f aca="false">IFERROR(AVERAGEIFS(Volumes!$BE$4:$BE$403,Volumes!$F$4:$F$403,$A5),"")</f>
        <v/>
      </c>
      <c r="K5" s="32" t="n">
        <f aca="false">IFERROR(MAX(IF(Volumes!$F$4:$F$403=$A5,ABS(Volumes!$BE$4:$BE$403))),"")</f>
        <v>0</v>
      </c>
      <c r="L5" s="41" t="str">
        <f aca="false">IFERROR(AVERAGEIFS(Volumes!$AH$4:$AH$403,Volumes!$F$4:$F$403,$A5),"")</f>
        <v/>
      </c>
      <c r="M5" s="34" t="str">
        <f aca="false">IFERROR(AVERAGEIFS(Volumes!$BK$4:$BK$403,Volumes!$F$4:$F$403,$A5),"")</f>
        <v/>
      </c>
      <c r="N5" s="34" t="str">
        <f aca="false">IF($B5=0,"",COUNTIFS(Volumes!$F$4:$F$403,$A5,Volumes!$AQ$4:$AQ$403,"Y")/$B5)</f>
        <v/>
      </c>
      <c r="O5" s="34" t="str">
        <f aca="false">IF($B5=0,"",COUNTIFS(Volumes!$F$4:$F$403,$A5,Volumes!$AR$4:$AR$403,"Y")/$B5)</f>
        <v/>
      </c>
    </row>
    <row r="6" customFormat="false" ht="15" hidden="false" customHeight="false" outlineLevel="0" collapsed="false">
      <c r="A6" s="40" t="s">
        <v>80</v>
      </c>
      <c r="B6" s="33" t="n">
        <f aca="false">COUNTIF(Volumes!$F$4:$F$403,$A6)</f>
        <v>0</v>
      </c>
      <c r="C6" s="33" t="n">
        <f aca="false">COUNTIFS(Volumes!$F$4:$F$403,$A6,Volumes!$H$4:$H$403,"ok")</f>
        <v>0</v>
      </c>
      <c r="D6" s="34" t="str">
        <f aca="false">IF($B6=0,"",COUNTIFS(Volumes!$F$4:$F$403,$A6,Volumes!$Q$4:$Q$403,"Y")/$B6)</f>
        <v/>
      </c>
      <c r="E6" s="34" t="str">
        <f aca="false">IF($B6=0,"",COUNTIFS(Volumes!$F$4:$F$403,$A6,Volumes!$Z$4:$Z$403,"Y")/$B6)</f>
        <v/>
      </c>
      <c r="F6" s="34" t="str">
        <f aca="false">IF($B6=0,"",COUNTIFS(Volumes!$F$4:$F$403,$A6,Volumes!$BM$4:$BM$403,"Y")/$B6)</f>
        <v/>
      </c>
      <c r="G6" s="34" t="str">
        <f aca="false">IF($B6=0,"",COUNTIFS(Volumes!$F$4:$F$403,$A6,Volumes!$BN$4:$BN$403,"Y")/$B6)</f>
        <v/>
      </c>
      <c r="H6" s="34" t="str">
        <f aca="false">IF($B6=0,"",COUNTIFS(Volumes!$F$4:$F$403,$A6,Volumes!$BO$4:$BO$403,"Y")/$B6)</f>
        <v/>
      </c>
      <c r="I6" s="34" t="str">
        <f aca="false">IF($B6=0,"",COUNTIFS(Volumes!$F$4:$F$403,$A6,Volumes!$BP$4:$BP$403,"Y")/$B6)</f>
        <v/>
      </c>
      <c r="J6" s="32" t="str">
        <f aca="false">IFERROR(AVERAGEIFS(Volumes!$BE$4:$BE$403,Volumes!$F$4:$F$403,$A6),"")</f>
        <v/>
      </c>
      <c r="K6" s="32" t="n">
        <f aca="false">IFERROR(MAX(IF(Volumes!$F$4:$F$403=$A6,ABS(Volumes!$BE$4:$BE$403))),"")</f>
        <v>0</v>
      </c>
      <c r="L6" s="41" t="str">
        <f aca="false">IFERROR(AVERAGEIFS(Volumes!$AH$4:$AH$403,Volumes!$F$4:$F$403,$A6),"")</f>
        <v/>
      </c>
      <c r="M6" s="34" t="str">
        <f aca="false">IFERROR(AVERAGEIFS(Volumes!$BK$4:$BK$403,Volumes!$F$4:$F$403,$A6),"")</f>
        <v/>
      </c>
      <c r="N6" s="34" t="str">
        <f aca="false">IF($B6=0,"",COUNTIFS(Volumes!$F$4:$F$403,$A6,Volumes!$AQ$4:$AQ$403,"Y")/$B6)</f>
        <v/>
      </c>
      <c r="O6" s="34" t="str">
        <f aca="false">IF($B6=0,"",COUNTIFS(Volumes!$F$4:$F$403,$A6,Volumes!$AR$4:$AR$403,"Y")/$B6)</f>
        <v/>
      </c>
    </row>
    <row r="7" customFormat="false" ht="15" hidden="false" customHeight="false" outlineLevel="0" collapsed="false">
      <c r="A7" s="40" t="s">
        <v>93</v>
      </c>
      <c r="B7" s="33" t="n">
        <f aca="false">COUNTIF(Volumes!$F$4:$F$403,$A7)</f>
        <v>0</v>
      </c>
      <c r="C7" s="33" t="n">
        <f aca="false">COUNTIFS(Volumes!$F$4:$F$403,$A7,Volumes!$H$4:$H$403,"ok")</f>
        <v>0</v>
      </c>
      <c r="D7" s="34" t="str">
        <f aca="false">IF($B7=0,"",COUNTIFS(Volumes!$F$4:$F$403,$A7,Volumes!$Q$4:$Q$403,"Y")/$B7)</f>
        <v/>
      </c>
      <c r="E7" s="34" t="str">
        <f aca="false">IF($B7=0,"",COUNTIFS(Volumes!$F$4:$F$403,$A7,Volumes!$Z$4:$Z$403,"Y")/$B7)</f>
        <v/>
      </c>
      <c r="F7" s="34" t="str">
        <f aca="false">IF($B7=0,"",COUNTIFS(Volumes!$F$4:$F$403,$A7,Volumes!$BM$4:$BM$403,"Y")/$B7)</f>
        <v/>
      </c>
      <c r="G7" s="34" t="str">
        <f aca="false">IF($B7=0,"",COUNTIFS(Volumes!$F$4:$F$403,$A7,Volumes!$BN$4:$BN$403,"Y")/$B7)</f>
        <v/>
      </c>
      <c r="H7" s="34" t="str">
        <f aca="false">IF($B7=0,"",COUNTIFS(Volumes!$F$4:$F$403,$A7,Volumes!$BO$4:$BO$403,"Y")/$B7)</f>
        <v/>
      </c>
      <c r="I7" s="34" t="str">
        <f aca="false">IF($B7=0,"",COUNTIFS(Volumes!$F$4:$F$403,$A7,Volumes!$BP$4:$BP$403,"Y")/$B7)</f>
        <v/>
      </c>
      <c r="J7" s="32" t="str">
        <f aca="false">IFERROR(AVERAGEIFS(Volumes!$BE$4:$BE$403,Volumes!$F$4:$F$403,$A7),"")</f>
        <v/>
      </c>
      <c r="K7" s="32" t="n">
        <f aca="false">IFERROR(MAX(IF(Volumes!$F$4:$F$403=$A7,ABS(Volumes!$BE$4:$BE$403))),"")</f>
        <v>0</v>
      </c>
      <c r="L7" s="41" t="str">
        <f aca="false">IFERROR(AVERAGEIFS(Volumes!$AH$4:$AH$403,Volumes!$F$4:$F$403,$A7),"")</f>
        <v/>
      </c>
      <c r="M7" s="34" t="str">
        <f aca="false">IFERROR(AVERAGEIFS(Volumes!$BK$4:$BK$403,Volumes!$F$4:$F$403,$A7),"")</f>
        <v/>
      </c>
      <c r="N7" s="34" t="str">
        <f aca="false">IF($B7=0,"",COUNTIFS(Volumes!$F$4:$F$403,$A7,Volumes!$AQ$4:$AQ$403,"Y")/$B7)</f>
        <v/>
      </c>
      <c r="O7" s="34" t="str">
        <f aca="false">IF($B7=0,"",COUNTIFS(Volumes!$F$4:$F$403,$A7,Volumes!$AR$4:$AR$403,"Y")/$B7)</f>
        <v/>
      </c>
    </row>
    <row r="8" customFormat="false" ht="15" hidden="false" customHeight="false" outlineLevel="0" collapsed="false">
      <c r="A8" s="40" t="s">
        <v>106</v>
      </c>
      <c r="B8" s="33" t="n">
        <f aca="false">COUNTIF(Volumes!$F$4:$F$403,$A8)</f>
        <v>0</v>
      </c>
      <c r="C8" s="33" t="n">
        <f aca="false">COUNTIFS(Volumes!$F$4:$F$403,$A8,Volumes!$H$4:$H$403,"ok")</f>
        <v>0</v>
      </c>
      <c r="D8" s="34" t="str">
        <f aca="false">IF($B8=0,"",COUNTIFS(Volumes!$F$4:$F$403,$A8,Volumes!$Q$4:$Q$403,"Y")/$B8)</f>
        <v/>
      </c>
      <c r="E8" s="34" t="str">
        <f aca="false">IF($B8=0,"",COUNTIFS(Volumes!$F$4:$F$403,$A8,Volumes!$Z$4:$Z$403,"Y")/$B8)</f>
        <v/>
      </c>
      <c r="F8" s="34" t="str">
        <f aca="false">IF($B8=0,"",COUNTIFS(Volumes!$F$4:$F$403,$A8,Volumes!$BM$4:$BM$403,"Y")/$B8)</f>
        <v/>
      </c>
      <c r="G8" s="34" t="str">
        <f aca="false">IF($B8=0,"",COUNTIFS(Volumes!$F$4:$F$403,$A8,Volumes!$BN$4:$BN$403,"Y")/$B8)</f>
        <v/>
      </c>
      <c r="H8" s="34" t="str">
        <f aca="false">IF($B8=0,"",COUNTIFS(Volumes!$F$4:$F$403,$A8,Volumes!$BO$4:$BO$403,"Y")/$B8)</f>
        <v/>
      </c>
      <c r="I8" s="34" t="str">
        <f aca="false">IF($B8=0,"",COUNTIFS(Volumes!$F$4:$F$403,$A8,Volumes!$BP$4:$BP$403,"Y")/$B8)</f>
        <v/>
      </c>
      <c r="J8" s="32" t="str">
        <f aca="false">IFERROR(AVERAGEIFS(Volumes!$BE$4:$BE$403,Volumes!$F$4:$F$403,$A8),"")</f>
        <v/>
      </c>
      <c r="K8" s="32" t="n">
        <f aca="false">IFERROR(MAX(IF(Volumes!$F$4:$F$403=$A8,ABS(Volumes!$BE$4:$BE$403))),"")</f>
        <v>0</v>
      </c>
      <c r="L8" s="41" t="str">
        <f aca="false">IFERROR(AVERAGEIFS(Volumes!$AH$4:$AH$403,Volumes!$F$4:$F$403,$A8),"")</f>
        <v/>
      </c>
      <c r="M8" s="34" t="str">
        <f aca="false">IFERROR(AVERAGEIFS(Volumes!$BK$4:$BK$403,Volumes!$F$4:$F$403,$A8),"")</f>
        <v/>
      </c>
      <c r="N8" s="34" t="str">
        <f aca="false">IF($B8=0,"",COUNTIFS(Volumes!$F$4:$F$403,$A8,Volumes!$AQ$4:$AQ$403,"Y")/$B8)</f>
        <v/>
      </c>
      <c r="O8" s="34" t="str">
        <f aca="false">IF($B8=0,"",COUNTIFS(Volumes!$F$4:$F$403,$A8,Volumes!$AR$4:$AR$403,"Y")/$B8)</f>
        <v/>
      </c>
    </row>
    <row r="9" customFormat="false" ht="15" hidden="false" customHeight="false" outlineLevel="0" collapsed="false">
      <c r="A9" s="40" t="s">
        <v>114</v>
      </c>
      <c r="B9" s="33" t="n">
        <f aca="false">COUNTIF(Volumes!$F$4:$F$403,$A9)</f>
        <v>0</v>
      </c>
      <c r="C9" s="33" t="n">
        <f aca="false">COUNTIFS(Volumes!$F$4:$F$403,$A9,Volumes!$H$4:$H$403,"ok")</f>
        <v>0</v>
      </c>
      <c r="D9" s="34" t="str">
        <f aca="false">IF($B9=0,"",COUNTIFS(Volumes!$F$4:$F$403,$A9,Volumes!$Q$4:$Q$403,"Y")/$B9)</f>
        <v/>
      </c>
      <c r="E9" s="34" t="str">
        <f aca="false">IF($B9=0,"",COUNTIFS(Volumes!$F$4:$F$403,$A9,Volumes!$Z$4:$Z$403,"Y")/$B9)</f>
        <v/>
      </c>
      <c r="F9" s="34" t="str">
        <f aca="false">IF($B9=0,"",COUNTIFS(Volumes!$F$4:$F$403,$A9,Volumes!$BM$4:$BM$403,"Y")/$B9)</f>
        <v/>
      </c>
      <c r="G9" s="34" t="str">
        <f aca="false">IF($B9=0,"",COUNTIFS(Volumes!$F$4:$F$403,$A9,Volumes!$BN$4:$BN$403,"Y")/$B9)</f>
        <v/>
      </c>
      <c r="H9" s="34" t="str">
        <f aca="false">IF($B9=0,"",COUNTIFS(Volumes!$F$4:$F$403,$A9,Volumes!$BO$4:$BO$403,"Y")/$B9)</f>
        <v/>
      </c>
      <c r="I9" s="34" t="str">
        <f aca="false">IF($B9=0,"",COUNTIFS(Volumes!$F$4:$F$403,$A9,Volumes!$BP$4:$BP$403,"Y")/$B9)</f>
        <v/>
      </c>
      <c r="J9" s="32" t="str">
        <f aca="false">IFERROR(AVERAGEIFS(Volumes!$BE$4:$BE$403,Volumes!$F$4:$F$403,$A9),"")</f>
        <v/>
      </c>
      <c r="K9" s="32" t="n">
        <f aca="false">IFERROR(MAX(IF(Volumes!$F$4:$F$403=$A9,ABS(Volumes!$BE$4:$BE$403))),"")</f>
        <v>0</v>
      </c>
      <c r="L9" s="41" t="str">
        <f aca="false">IFERROR(AVERAGEIFS(Volumes!$AH$4:$AH$403,Volumes!$F$4:$F$403,$A9),"")</f>
        <v/>
      </c>
      <c r="M9" s="34" t="str">
        <f aca="false">IFERROR(AVERAGEIFS(Volumes!$BK$4:$BK$403,Volumes!$F$4:$F$403,$A9),"")</f>
        <v/>
      </c>
      <c r="N9" s="34" t="str">
        <f aca="false">IF($B9=0,"",COUNTIFS(Volumes!$F$4:$F$403,$A9,Volumes!$AQ$4:$AQ$403,"Y")/$B9)</f>
        <v/>
      </c>
      <c r="O9" s="34" t="str">
        <f aca="false">IF($B9=0,"",COUNTIFS(Volumes!$F$4:$F$403,$A9,Volumes!$AR$4:$AR$403,"Y")/$B9)</f>
        <v/>
      </c>
    </row>
    <row r="10" customFormat="false" ht="15" hidden="false" customHeight="false" outlineLevel="0" collapsed="false">
      <c r="A10" s="40" t="s">
        <v>117</v>
      </c>
      <c r="B10" s="33" t="n">
        <f aca="false">COUNTIF(Volumes!$F$4:$F$403,$A10)</f>
        <v>0</v>
      </c>
      <c r="C10" s="33" t="n">
        <f aca="false">COUNTIFS(Volumes!$F$4:$F$403,$A10,Volumes!$H$4:$H$403,"ok")</f>
        <v>0</v>
      </c>
      <c r="D10" s="34" t="str">
        <f aca="false">IF($B10=0,"",COUNTIFS(Volumes!$F$4:$F$403,$A10,Volumes!$Q$4:$Q$403,"Y")/$B10)</f>
        <v/>
      </c>
      <c r="E10" s="34" t="str">
        <f aca="false">IF($B10=0,"",COUNTIFS(Volumes!$F$4:$F$403,$A10,Volumes!$Z$4:$Z$403,"Y")/$B10)</f>
        <v/>
      </c>
      <c r="F10" s="34" t="str">
        <f aca="false">IF($B10=0,"",COUNTIFS(Volumes!$F$4:$F$403,$A10,Volumes!$BM$4:$BM$403,"Y")/$B10)</f>
        <v/>
      </c>
      <c r="G10" s="34" t="str">
        <f aca="false">IF($B10=0,"",COUNTIFS(Volumes!$F$4:$F$403,$A10,Volumes!$BN$4:$BN$403,"Y")/$B10)</f>
        <v/>
      </c>
      <c r="H10" s="34" t="str">
        <f aca="false">IF($B10=0,"",COUNTIFS(Volumes!$F$4:$F$403,$A10,Volumes!$BO$4:$BO$403,"Y")/$B10)</f>
        <v/>
      </c>
      <c r="I10" s="34" t="str">
        <f aca="false">IF($B10=0,"",COUNTIFS(Volumes!$F$4:$F$403,$A10,Volumes!$BP$4:$BP$403,"Y")/$B10)</f>
        <v/>
      </c>
      <c r="J10" s="32" t="str">
        <f aca="false">IFERROR(AVERAGEIFS(Volumes!$BE$4:$BE$403,Volumes!$F$4:$F$403,$A10),"")</f>
        <v/>
      </c>
      <c r="K10" s="32" t="n">
        <f aca="false">IFERROR(MAX(IF(Volumes!$F$4:$F$403=$A10,ABS(Volumes!$BE$4:$BE$403))),"")</f>
        <v>0</v>
      </c>
      <c r="L10" s="41" t="str">
        <f aca="false">IFERROR(AVERAGEIFS(Volumes!$AH$4:$AH$403,Volumes!$F$4:$F$403,$A10),"")</f>
        <v/>
      </c>
      <c r="M10" s="34" t="str">
        <f aca="false">IFERROR(AVERAGEIFS(Volumes!$BK$4:$BK$403,Volumes!$F$4:$F$403,$A10),"")</f>
        <v/>
      </c>
      <c r="N10" s="34" t="str">
        <f aca="false">IF($B10=0,"",COUNTIFS(Volumes!$F$4:$F$403,$A10,Volumes!$AQ$4:$AQ$403,"Y")/$B10)</f>
        <v/>
      </c>
      <c r="O10" s="34" t="str">
        <f aca="false">IF($B10=0,"",COUNTIFS(Volumes!$F$4:$F$403,$A10,Volumes!$AR$4:$AR$403,"Y")/$B10)</f>
        <v/>
      </c>
    </row>
    <row r="13" customFormat="false" ht="15" hidden="false" customHeight="false" outlineLevel="0" collapsed="false">
      <c r="A13" s="42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2026-09-07T11:58:41Z</dcterms:created>
  <dc:creator>openpyxl</dc:creator>
  <dc:description/>
  <dc:language>en-US</dc:language>
  <cp:lastModifiedBy/>
  <dcterms:modified xsi:type="dcterms:W3CDTF">2026-09-07T11:58:43Z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